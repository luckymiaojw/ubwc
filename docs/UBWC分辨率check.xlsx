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大图验证-R7130" sheetId="1" state="visible" r:id="rId1"/>
    <sheet xmlns:r="http://schemas.openxmlformats.org/officeDocument/2006/relationships" name="UBWC寄存器配置" sheetId="2" state="visible" r:id="rId2"/>
    <sheet xmlns:r="http://schemas.openxmlformats.org/officeDocument/2006/relationships" name="case01_1888x1624" sheetId="3" state="visible" r:id="rId3"/>
    <sheet xmlns:r="http://schemas.openxmlformats.org/officeDocument/2006/relationships" name="case02_720x1548" sheetId="4" state="visible" r:id="rId4"/>
    <sheet xmlns:r="http://schemas.openxmlformats.org/officeDocument/2006/relationships" name="case03_2080x1800" sheetId="5" state="visible" r:id="rId5"/>
    <sheet xmlns:r="http://schemas.openxmlformats.org/officeDocument/2006/relationships" name="case04_970x2134" sheetId="6" state="visible" r:id="rId6"/>
    <sheet xmlns:r="http://schemas.openxmlformats.org/officeDocument/2006/relationships" name="case05_970x2134" sheetId="7" state="visible" r:id="rId7"/>
  </sheets>
  <definedNames>
    <definedName name="_xlnm._FilterDatabase" localSheetId="1" hidden="1">'UBWC寄存器配置'!$A$8:$AN$13</definedName>
    <definedName name="_xlnm.Print_Area" localSheetId="2">'case01_1888x1624'!$A$1:$F$84</definedName>
    <definedName name="_xlnm.Print_Area" localSheetId="3">'case02_720x1548'!$A$1:$F$84</definedName>
    <definedName name="_xlnm.Print_Area" localSheetId="4">'case03_2080x1800'!$A$1:$F$84</definedName>
    <definedName name="_xlnm.Print_Area" localSheetId="5">'case04_970x2134'!$A$1:$F$84</definedName>
    <definedName name="_xlnm.Print_Area" localSheetId="6">'case05_970x2134'!$A$1:$F$84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_ "/>
  </numFmts>
  <fonts count="26">
    <font>
      <name val="等线"/>
      <charset val="134"/>
      <color theme="1"/>
      <sz val="10"/>
      <scheme val="minor"/>
    </font>
    <font>
      <name val="等线"/>
      <charset val="134"/>
      <family val="3"/>
      <b val="1"/>
      <color theme="1"/>
      <sz val="16"/>
      <scheme val="minor"/>
    </font>
    <font>
      <name val="等线"/>
      <charset val="134"/>
      <family val="3"/>
      <color theme="1"/>
      <sz val="20"/>
      <scheme val="minor"/>
    </font>
    <font>
      <name val="等线"/>
      <charset val="134"/>
      <family val="3"/>
      <b val="1"/>
      <color theme="1"/>
      <sz val="26"/>
      <scheme val="minor"/>
    </font>
    <font>
      <name val="华文楷体"/>
      <charset val="134"/>
      <family val="3"/>
      <b val="1"/>
      <sz val="20"/>
    </font>
    <font>
      <name val="华文楷体"/>
      <charset val="134"/>
      <family val="3"/>
      <b val="1"/>
      <sz val="18"/>
    </font>
    <font>
      <name val="华文楷体"/>
      <charset val="134"/>
      <family val="3"/>
      <b val="1"/>
      <sz val="24"/>
    </font>
    <font>
      <name val="华文楷体"/>
      <charset val="134"/>
      <family val="3"/>
      <b val="1"/>
      <sz val="16"/>
    </font>
    <font>
      <name val="华文楷体"/>
      <charset val="134"/>
      <family val="3"/>
      <b val="1"/>
      <color theme="1"/>
      <sz val="20"/>
    </font>
    <font>
      <name val="华文楷体"/>
      <charset val="134"/>
      <family val="3"/>
      <b val="1"/>
      <color rgb="FFFF0000"/>
      <sz val="16"/>
    </font>
    <font>
      <name val="华文楷体"/>
      <charset val="134"/>
      <family val="3"/>
      <color theme="1"/>
      <sz val="16"/>
    </font>
    <font>
      <name val="华文楷体"/>
      <charset val="134"/>
      <family val="3"/>
      <b val="1"/>
      <color theme="1"/>
      <sz val="16"/>
    </font>
    <font>
      <name val="Calibri"/>
      <family val="2"/>
      <color theme="1"/>
      <sz val="12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sz val="9"/>
      <scheme val="minor"/>
    </font>
    <font>
      <b val="1"/>
      <color rgb="001F4E78"/>
      <sz val="14"/>
    </font>
    <font>
      <b val="1"/>
      <color rgb="009C6500"/>
    </font>
    <font>
      <b val="1"/>
      <color rgb="00FFFFFF"/>
    </font>
    <font>
      <b val="1"/>
      <color rgb="001F4E78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color rgb="00000000"/>
      <sz val="10"/>
    </font>
    <font>
      <name val="Arial"/>
      <color rgb="000563C1"/>
      <sz val="10"/>
      <u val="single"/>
    </font>
    <font>
      <name val="Arial"/>
      <b val="1"/>
      <color rgb="001F4E78"/>
      <sz val="12"/>
    </font>
    <font>
      <name val="Consolas"/>
      <color rgb="00000000"/>
      <sz val="10"/>
    </font>
  </fonts>
  <fills count="25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2">
    <xf numFmtId="0" fontId="0" fillId="0" borderId="0"/>
    <xf numFmtId="0" fontId="12" fillId="0" borderId="0" applyAlignment="1">
      <alignment vertical="center"/>
    </xf>
  </cellStyleXfs>
  <cellXfs count="1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5" borderId="1" applyAlignment="1" pivotButton="0" quotePrefix="0" xfId="1">
      <alignment horizontal="center" vertical="center" wrapText="1"/>
    </xf>
    <xf numFmtId="0" fontId="7" fillId="11" borderId="1" applyAlignment="1" pivotButton="0" quotePrefix="0" xfId="1">
      <alignment horizontal="center" vertical="center" wrapText="1"/>
    </xf>
    <xf numFmtId="0" fontId="7" fillId="4" borderId="1" applyAlignment="1" pivotButton="0" quotePrefix="0" xfId="1">
      <alignment horizontal="center" vertical="center" wrapText="1"/>
    </xf>
    <xf numFmtId="0" fontId="7" fillId="9" borderId="1" applyAlignment="1" pivotButton="0" quotePrefix="0" xfId="1">
      <alignment horizontal="center" vertical="center" wrapText="1"/>
    </xf>
    <xf numFmtId="0" fontId="7" fillId="5" borderId="1" applyAlignment="1" pivotButton="0" quotePrefix="0" xfId="1">
      <alignment horizontal="center" vertical="center" wrapText="1"/>
    </xf>
    <xf numFmtId="0" fontId="7" fillId="12" borderId="1" applyAlignment="1" pivotButton="0" quotePrefix="0" xfId="1">
      <alignment horizontal="center" vertical="center" wrapText="1"/>
    </xf>
    <xf numFmtId="0" fontId="7" fillId="8" borderId="1" applyAlignment="1" pivotButton="0" quotePrefix="0" xfId="1">
      <alignment horizontal="center" vertical="center" wrapText="1"/>
    </xf>
    <xf numFmtId="0" fontId="7" fillId="5" borderId="7" applyAlignment="1" pivotButton="0" quotePrefix="0" xfId="1">
      <alignment horizontal="center" vertical="center" wrapText="1"/>
    </xf>
    <xf numFmtId="0" fontId="7" fillId="10" borderId="1" applyAlignment="1" pivotButton="0" quotePrefix="0" xfId="1">
      <alignment horizontal="center" vertical="center" wrapText="1"/>
    </xf>
    <xf numFmtId="0" fontId="7" fillId="11" borderId="5" applyAlignment="1" pivotButton="0" quotePrefix="0" xfId="1">
      <alignment horizontal="center" vertical="center" wrapText="1"/>
    </xf>
    <xf numFmtId="0" fontId="0" fillId="0" borderId="1" applyAlignment="1" pivotButton="0" quotePrefix="0" xfId="0">
      <alignment vertical="center"/>
    </xf>
    <xf numFmtId="0" fontId="8" fillId="17" borderId="1" applyAlignment="1" pivotButton="0" quotePrefix="0" xfId="1">
      <alignment horizontal="center" vertical="center" wrapText="1"/>
    </xf>
    <xf numFmtId="0" fontId="9" fillId="3" borderId="1" applyAlignment="1" pivotButton="0" quotePrefix="0" xfId="1">
      <alignment horizontal="center" vertical="center" wrapText="1"/>
    </xf>
    <xf numFmtId="0" fontId="10" fillId="18" borderId="1" applyAlignment="1" pivotButton="0" quotePrefix="0" xfId="1">
      <alignment horizontal="center" vertical="center" wrapText="1"/>
    </xf>
    <xf numFmtId="0" fontId="11" fillId="5" borderId="1" applyAlignment="1" pivotButton="0" quotePrefix="0" xfId="1">
      <alignment horizontal="center" vertical="center" wrapText="1"/>
    </xf>
    <xf numFmtId="0" fontId="7" fillId="18" borderId="1" applyAlignment="1" pivotButton="0" quotePrefix="0" xfId="1">
      <alignment horizontal="center" vertical="center" wrapText="1"/>
    </xf>
    <xf numFmtId="0" fontId="11" fillId="5" borderId="3" applyAlignment="1" pivotButton="0" quotePrefix="0" xfId="1">
      <alignment horizontal="center" vertical="center" wrapText="1"/>
    </xf>
    <xf numFmtId="0" fontId="10" fillId="19" borderId="4" applyAlignment="1" pivotButton="0" quotePrefix="0" xfId="1">
      <alignment horizontal="center" vertical="center" wrapText="1"/>
    </xf>
    <xf numFmtId="0" fontId="10" fillId="19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0" fillId="17" borderId="1" applyAlignment="1" pivotButton="0" quotePrefix="0" xfId="1">
      <alignment horizontal="center" vertical="center" wrapText="1"/>
    </xf>
    <xf numFmtId="164" fontId="7" fillId="0" borderId="1" applyAlignment="1" pivotButton="0" quotePrefix="0" xfId="1">
      <alignment horizontal="center" vertical="center" wrapText="1"/>
    </xf>
    <xf numFmtId="164" fontId="7" fillId="0" borderId="1" applyAlignment="1" pivotButton="0" quotePrefix="0" xfId="1">
      <alignment vertical="center" wrapText="1"/>
    </xf>
    <xf numFmtId="164" fontId="7" fillId="0" borderId="9" applyAlignment="1" pivotButton="0" quotePrefix="0" xfId="1">
      <alignment vertical="center" wrapText="1"/>
    </xf>
    <xf numFmtId="164" fontId="7" fillId="0" borderId="9" applyAlignment="1" pivotButton="0" quotePrefix="0" xfId="1">
      <alignment horizontal="center" vertical="center" wrapText="1"/>
    </xf>
    <xf numFmtId="0" fontId="7" fillId="11" borderId="3" applyAlignment="1" pivotButton="0" quotePrefix="0" xfId="1">
      <alignment horizontal="center" vertical="center" wrapText="1"/>
    </xf>
    <xf numFmtId="0" fontId="7" fillId="8" borderId="5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164" fontId="7" fillId="0" borderId="1" applyAlignment="1" pivotButton="0" quotePrefix="0" xfId="1">
      <alignment horizontal="left" vertical="center" wrapText="1"/>
    </xf>
    <xf numFmtId="164" fontId="7" fillId="0" borderId="10" applyAlignment="1" pivotButton="0" quotePrefix="0" xfId="1">
      <alignment horizontal="center" vertical="center" wrapText="1"/>
    </xf>
    <xf numFmtId="0" fontId="7" fillId="11" borderId="11" applyAlignment="1" pivotButton="0" quotePrefix="0" xfId="1">
      <alignment horizontal="center" vertical="center" wrapText="1"/>
    </xf>
    <xf numFmtId="0" fontId="9" fillId="11" borderId="1" applyAlignment="1" pivotButton="0" quotePrefix="0" xfId="1">
      <alignment horizontal="center" vertical="center" wrapText="1"/>
    </xf>
    <xf numFmtId="164" fontId="7" fillId="0" borderId="5" applyAlignment="1" pivotButton="0" quotePrefix="0" xfId="1">
      <alignment horizontal="center" vertical="center" wrapText="1"/>
    </xf>
    <xf numFmtId="0" fontId="10" fillId="17" borderId="7" applyAlignment="1" pivotButton="0" quotePrefix="0" xfId="1">
      <alignment horizontal="center" vertical="center" wrapText="1"/>
    </xf>
    <xf numFmtId="0" fontId="7" fillId="3" borderId="1" applyAlignment="1" pivotButton="0" quotePrefix="0" xfId="1">
      <alignment horizontal="center" vertical="center" wrapText="1"/>
    </xf>
    <xf numFmtId="0" fontId="7" fillId="3" borderId="5" applyAlignment="1" pivotButton="0" quotePrefix="0" xfId="1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2" borderId="1" applyAlignment="1" pivotButton="0" quotePrefix="0" xfId="1">
      <alignment horizontal="center" vertical="center" wrapText="1"/>
    </xf>
    <xf numFmtId="0" fontId="4" fillId="14" borderId="5" applyAlignment="1" pivotButton="0" quotePrefix="0" xfId="1">
      <alignment horizontal="center" vertical="center" wrapText="1"/>
    </xf>
    <xf numFmtId="0" fontId="4" fillId="14" borderId="6" applyAlignment="1" pivotButton="0" quotePrefix="0" xfId="1">
      <alignment horizontal="center" vertical="center" wrapText="1"/>
    </xf>
    <xf numFmtId="0" fontId="4" fillId="14" borderId="4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5" fillId="12" borderId="5" applyAlignment="1" pivotButton="0" quotePrefix="0" xfId="1">
      <alignment horizontal="center" vertical="center" wrapText="1"/>
    </xf>
    <xf numFmtId="0" fontId="5" fillId="12" borderId="6" applyAlignment="1" pivotButton="0" quotePrefix="0" xfId="1">
      <alignment horizontal="center" vertical="center" wrapText="1"/>
    </xf>
    <xf numFmtId="0" fontId="5" fillId="12" borderId="4" applyAlignment="1" pivotButton="0" quotePrefix="0" xfId="1">
      <alignment horizontal="center" vertical="center" wrapText="1"/>
    </xf>
    <xf numFmtId="0" fontId="5" fillId="8" borderId="5" applyAlignment="1" pivotButton="0" quotePrefix="0" xfId="1">
      <alignment horizontal="center" vertical="center" wrapText="1"/>
    </xf>
    <xf numFmtId="0" fontId="5" fillId="8" borderId="4" applyAlignment="1" pivotButton="0" quotePrefix="0" xfId="1">
      <alignment horizontal="center" vertical="center" wrapText="1"/>
    </xf>
    <xf numFmtId="0" fontId="5" fillId="8" borderId="6" applyAlignment="1" pivotButton="0" quotePrefix="0" xfId="1">
      <alignment horizontal="center" vertical="center" wrapText="1"/>
    </xf>
    <xf numFmtId="0" fontId="6" fillId="14" borderId="5" applyAlignment="1" pivotButton="0" quotePrefix="0" xfId="1">
      <alignment horizontal="center" vertical="center" wrapText="1"/>
    </xf>
    <xf numFmtId="0" fontId="6" fillId="14" borderId="6" applyAlignment="1" pivotButton="0" quotePrefix="0" xfId="1">
      <alignment horizontal="center" vertical="center" wrapText="1"/>
    </xf>
    <xf numFmtId="0" fontId="6" fillId="14" borderId="4" applyAlignment="1" pivotButton="0" quotePrefix="0" xfId="1">
      <alignment horizontal="center" vertical="center" wrapText="1"/>
    </xf>
    <xf numFmtId="0" fontId="6" fillId="15" borderId="1" applyAlignment="1" pivotButton="0" quotePrefix="0" xfId="1">
      <alignment horizontal="center" vertical="center" wrapText="1"/>
    </xf>
    <xf numFmtId="0" fontId="4" fillId="2" borderId="5" applyAlignment="1" pivotButton="0" quotePrefix="0" xfId="1">
      <alignment horizontal="center" vertical="center" wrapText="1"/>
    </xf>
    <xf numFmtId="0" fontId="4" fillId="2" borderId="4" applyAlignment="1" pivotButton="0" quotePrefix="0" xfId="1">
      <alignment horizontal="center" vertical="center" wrapText="1"/>
    </xf>
    <xf numFmtId="0" fontId="4" fillId="13" borderId="4" applyAlignment="1" pivotButton="0" quotePrefix="0" xfId="1">
      <alignment horizontal="center" vertical="center" wrapText="1"/>
    </xf>
    <xf numFmtId="0" fontId="8" fillId="17" borderId="7" applyAlignment="1" pivotButton="0" quotePrefix="0" xfId="1">
      <alignment horizontal="center" vertical="center" wrapText="1"/>
    </xf>
    <xf numFmtId="0" fontId="8" fillId="17" borderId="9" applyAlignment="1" pivotButton="0" quotePrefix="0" xfId="1">
      <alignment horizontal="center" vertical="center" wrapText="1"/>
    </xf>
    <xf numFmtId="0" fontId="8" fillId="17" borderId="8" applyAlignment="1" pivotButton="0" quotePrefix="0" xfId="1">
      <alignment horizontal="center" vertical="center" wrapText="1"/>
    </xf>
    <xf numFmtId="0" fontId="6" fillId="2" borderId="7" applyAlignment="1" pivotButton="0" quotePrefix="0" xfId="1">
      <alignment horizontal="center" vertical="center" wrapText="1"/>
    </xf>
    <xf numFmtId="0" fontId="6" fillId="2" borderId="8" applyAlignment="1" pivotButton="0" quotePrefix="0" xfId="1">
      <alignment horizontal="center" vertical="center" wrapText="1"/>
    </xf>
    <xf numFmtId="0" fontId="6" fillId="6" borderId="7" applyAlignment="1" pivotButton="0" quotePrefix="0" xfId="1">
      <alignment horizontal="center" vertical="center" wrapText="1"/>
    </xf>
    <xf numFmtId="0" fontId="6" fillId="6" borderId="8" applyAlignment="1" pivotButton="0" quotePrefix="0" xfId="1">
      <alignment horizontal="center" vertical="center" wrapText="1"/>
    </xf>
    <xf numFmtId="0" fontId="6" fillId="15" borderId="7" applyAlignment="1" pivotButton="0" quotePrefix="0" xfId="1">
      <alignment horizontal="center" vertical="center" wrapText="1"/>
    </xf>
    <xf numFmtId="0" fontId="6" fillId="15" borderId="8" applyAlignment="1" pivotButton="0" quotePrefix="0" xfId="1">
      <alignment horizontal="center" vertical="center" wrapText="1"/>
    </xf>
    <xf numFmtId="0" fontId="6" fillId="16" borderId="7" applyAlignment="1" pivotButton="0" quotePrefix="0" xfId="1">
      <alignment horizontal="center" vertical="center" wrapText="1"/>
    </xf>
    <xf numFmtId="0" fontId="6" fillId="16" borderId="8" applyAlignment="1" pivotButton="0" quotePrefix="0" xfId="1">
      <alignment horizontal="center" vertical="center" wrapText="1"/>
    </xf>
    <xf numFmtId="0" fontId="6" fillId="7" borderId="7" applyAlignment="1" pivotButton="0" quotePrefix="0" xfId="1">
      <alignment horizontal="center" vertical="center" wrapText="1"/>
    </xf>
    <xf numFmtId="0" fontId="6" fillId="7" borderId="8" applyAlignment="1" pivotButton="0" quotePrefix="0" xfId="1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4" fillId="14" borderId="1" applyAlignment="1" pivotButton="0" quotePrefix="0" xfId="1">
      <alignment horizontal="center" vertical="center" wrapText="1"/>
    </xf>
    <xf numFmtId="0" fontId="5" fillId="12" borderId="1" applyAlignment="1" pivotButton="0" quotePrefix="0" xfId="1">
      <alignment horizontal="center" vertical="center" wrapText="1"/>
    </xf>
    <xf numFmtId="0" fontId="5" fillId="8" borderId="1" applyAlignment="1" pivotButton="0" quotePrefix="0" xfId="1">
      <alignment horizontal="center" vertical="center" wrapText="1"/>
    </xf>
    <xf numFmtId="0" fontId="6" fillId="14" borderId="1" applyAlignment="1" pivotButton="0" quotePrefix="0" xfId="1">
      <alignment horizontal="center" vertical="center" wrapText="1"/>
    </xf>
    <xf numFmtId="0" fontId="6" fillId="2" borderId="1" applyAlignment="1" pivotButton="0" quotePrefix="0" xfId="1">
      <alignment horizontal="center" vertical="center" wrapText="1"/>
    </xf>
    <xf numFmtId="0" fontId="6" fillId="6" borderId="1" applyAlignment="1" pivotButton="0" quotePrefix="0" xfId="1">
      <alignment horizontal="center" vertical="center" wrapText="1"/>
    </xf>
    <xf numFmtId="0" fontId="6" fillId="16" borderId="1" applyAlignment="1" pivotButton="0" quotePrefix="0" xfId="1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0" fillId="0" borderId="15" pivotButton="0" quotePrefix="0" xfId="0"/>
    <xf numFmtId="0" fontId="0" fillId="0" borderId="8" pivotButton="0" quotePrefix="0" xfId="0"/>
    <xf numFmtId="164" fontId="7" fillId="0" borderId="1" applyAlignment="1" pivotButton="0" quotePrefix="0" xfId="1">
      <alignment horizontal="center" vertical="center" wrapText="1"/>
    </xf>
    <xf numFmtId="164" fontId="7" fillId="0" borderId="1" applyAlignment="1" pivotButton="0" quotePrefix="0" xfId="1">
      <alignment vertical="center" wrapText="1"/>
    </xf>
    <xf numFmtId="164" fontId="7" fillId="0" borderId="9" applyAlignment="1" pivotButton="0" quotePrefix="0" xfId="1">
      <alignment vertical="center" wrapText="1"/>
    </xf>
    <xf numFmtId="164" fontId="7" fillId="0" borderId="9" applyAlignment="1" pivotButton="0" quotePrefix="0" xfId="1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9" pivotButton="0" quotePrefix="0" xfId="0"/>
    <xf numFmtId="164" fontId="7" fillId="0" borderId="1" applyAlignment="1" pivotButton="0" quotePrefix="0" xfId="1">
      <alignment horizontal="left" vertical="center" wrapText="1"/>
    </xf>
    <xf numFmtId="164" fontId="7" fillId="0" borderId="10" applyAlignment="1" pivotButton="0" quotePrefix="0" xfId="1">
      <alignment horizontal="center" vertical="center" wrapText="1"/>
    </xf>
    <xf numFmtId="164" fontId="7" fillId="0" borderId="5" applyAlignment="1" pivotButton="0" quotePrefix="0" xfId="1">
      <alignment horizontal="center" vertical="center" wrapText="1"/>
    </xf>
    <xf numFmtId="0" fontId="16" fillId="0" borderId="0" pivotButton="0" quotePrefix="0" xfId="0"/>
    <xf numFmtId="0" fontId="17" fillId="20" borderId="16" pivotButton="0" quotePrefix="0" xfId="0"/>
    <xf numFmtId="0" fontId="0" fillId="20" borderId="16" applyAlignment="1" pivotButton="0" quotePrefix="0" xfId="0">
      <alignment vertical="top" wrapText="1"/>
    </xf>
    <xf numFmtId="0" fontId="18" fillId="21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top" wrapText="1"/>
    </xf>
    <xf numFmtId="0" fontId="0" fillId="22" borderId="16" applyAlignment="1" pivotButton="0" quotePrefix="0" xfId="0">
      <alignment vertical="top" wrapText="1"/>
    </xf>
    <xf numFmtId="0" fontId="19" fillId="0" borderId="0" pivotButton="0" quotePrefix="0" xfId="0"/>
    <xf numFmtId="0" fontId="18" fillId="21" borderId="16" applyAlignment="1" pivotButton="0" quotePrefix="0" xfId="0">
      <alignment vertical="top" wrapText="1"/>
    </xf>
    <xf numFmtId="0" fontId="0" fillId="0" borderId="19" pivotButton="0" quotePrefix="0" xfId="0"/>
    <xf numFmtId="0" fontId="0" fillId="0" borderId="20" pivotButton="0" quotePrefix="0" xfId="0"/>
    <xf numFmtId="0" fontId="18" fillId="21" borderId="21" applyAlignment="1" pivotButton="0" quotePrefix="0" xfId="0">
      <alignment horizontal="center" vertical="center" wrapText="1"/>
    </xf>
    <xf numFmtId="0" fontId="20" fillId="22" borderId="21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21" fillId="21" borderId="21" applyAlignment="1" pivotButton="0" quotePrefix="0" xfId="0">
      <alignment horizontal="left" vertical="center"/>
    </xf>
    <xf numFmtId="0" fontId="22" fillId="23" borderId="21" applyAlignment="1" pivotButton="0" quotePrefix="0" xfId="0">
      <alignment horizontal="left" vertical="top" wrapText="1"/>
    </xf>
    <xf numFmtId="0" fontId="22" fillId="0" borderId="21" applyAlignment="1" pivotButton="0" quotePrefix="0" xfId="0">
      <alignment horizontal="center" vertical="center"/>
    </xf>
    <xf numFmtId="0" fontId="24" fillId="24" borderId="21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left" vertical="top" wrapText="1"/>
    </xf>
    <xf numFmtId="0" fontId="20" fillId="20" borderId="21" applyAlignment="1" pivotButton="0" quotePrefix="0" xfId="0">
      <alignment horizontal="center" vertical="center"/>
    </xf>
    <xf numFmtId="0" fontId="20" fillId="23" borderId="21" applyAlignment="1" pivotButton="0" quotePrefix="0" xfId="0">
      <alignment horizontal="center" vertical="center"/>
    </xf>
  </cellXfs>
  <cellStyles count="2">
    <cellStyle name="常规" xfId="0" builtinId="0"/>
    <cellStyle name="一般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xzliu(刘小舟)</author>
  </authors>
  <commentList>
    <comment ref="C2" authorId="0" shapeId="0">
      <text>
        <t>xzliu(刘小舟):
原图size 参考客户给的usecase中拼接后分辨率</t>
      </text>
    </comment>
    <comment ref="K5" authorId="0" shapeId="0">
      <text>
        <t>xzliu(刘小舟):
不能被32整除
-&gt; 736</t>
      </text>
    </comment>
    <comment ref="L5" authorId="0" shapeId="0">
      <text>
        <t>xzliu(刘小舟):
不能被8整除
-&gt; 1552</t>
      </text>
    </comment>
    <comment ref="K7" authorId="0" shapeId="0">
      <text>
        <t>xzliu(刘小舟):
不能被32整除
-&gt; 992</t>
      </text>
    </comment>
    <comment ref="L7" authorId="0" shapeId="0">
      <text>
        <t>xzliu(刘小舟):
不能被8整除
-&gt; 2136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198783</colOff>
      <row>0</row>
      <rowOff>132521</rowOff>
    </from>
    <to>
      <col>9</col>
      <colOff>199835</colOff>
      <row>0</row>
      <rowOff>1989296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8755" y="132080"/>
          <a:ext cx="6772275" cy="1860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#'case01_1888x1624'!A1" TargetMode="External" Id="rId1"/><Relationship Type="http://schemas.openxmlformats.org/officeDocument/2006/relationships/hyperlink" Target="#'case02_720x1548'!A1" TargetMode="External" Id="rId2"/><Relationship Type="http://schemas.openxmlformats.org/officeDocument/2006/relationships/hyperlink" Target="#'case03_2080x1800'!A1" TargetMode="External" Id="rId3"/><Relationship Type="http://schemas.openxmlformats.org/officeDocument/2006/relationships/hyperlink" Target="#'case04_970x2134'!A1" TargetMode="External" Id="rId4"/><Relationship Type="http://schemas.openxmlformats.org/officeDocument/2006/relationships/hyperlink" Target="#'case05_970x2134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UBWC&#23492;&#23384;&#22120;&#37197;&#32622;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UBWC&#23492;&#23384;&#22120;&#37197;&#32622;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UBWC&#23492;&#23384;&#22120;&#37197;&#32622;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UBWC&#23492;&#23384;&#22120;&#37197;&#32622;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UBWC&#23492;&#23384;&#22120;&#37197;&#32622;'!A1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BE10"/>
  <sheetViews>
    <sheetView tabSelected="1" zoomScale="70" zoomScaleNormal="70" workbookViewId="0">
      <selection activeCell="B4" sqref="B4:B8"/>
    </sheetView>
  </sheetViews>
  <sheetFormatPr baseColWidth="8" defaultColWidth="9" defaultRowHeight="13.2"/>
  <cols>
    <col width="9.77734375" customWidth="1" style="73" min="1" max="1"/>
    <col width="12.44140625" customWidth="1" style="73" min="2" max="2"/>
    <col width="10.6640625" customWidth="1" style="73" min="3" max="10"/>
    <col width="11.6640625" customWidth="1" style="73" min="11" max="11"/>
    <col width="12.5546875" customWidth="1" style="73" min="12" max="12"/>
    <col hidden="1" width="12.5546875" customWidth="1" style="73" min="13" max="13"/>
    <col width="12.5546875" customWidth="1" style="73" min="14" max="14"/>
    <col hidden="1" width="12.5546875" customWidth="1" style="73" min="15" max="15"/>
    <col width="12.5546875" customWidth="1" style="73" min="16" max="16"/>
    <col width="10.6640625" customWidth="1" style="73" min="17" max="24"/>
    <col width="11.44140625" customWidth="1" style="73" min="25" max="25"/>
    <col width="11.21875" customWidth="1" style="73" min="26" max="26"/>
    <col width="10.6640625" customWidth="1" style="73" min="27" max="32"/>
    <col width="11.44140625" customWidth="1" style="73" min="33" max="33"/>
    <col width="11.21875" customWidth="1" style="73" min="34" max="34"/>
    <col width="10.6640625" customWidth="1" style="73" min="35" max="36"/>
    <col width="8.6640625" customWidth="1" style="73" min="37" max="38"/>
    <col width="16.6640625" customWidth="1" style="73" min="39" max="39"/>
    <col width="16.109375" customWidth="1" style="73" min="40" max="40"/>
    <col width="8.6640625" customWidth="1" style="73" min="41" max="42"/>
    <col hidden="1" width="9" customWidth="1" style="73" min="43" max="49"/>
    <col hidden="1" width="76.21875" customWidth="1" style="73" min="50" max="50"/>
    <col hidden="1" width="18.88671875" customWidth="1" style="73" min="51" max="51"/>
    <col hidden="1" width="26.44140625" customWidth="1" style="73" min="52" max="52"/>
    <col hidden="1" width="31.44140625" customWidth="1" style="73" min="53" max="53"/>
    <col hidden="1" width="9" customWidth="1" style="73" min="54" max="54"/>
    <col width="20.6640625" customWidth="1" style="73" min="57" max="57"/>
  </cols>
  <sheetData>
    <row r="1" ht="165" customHeight="1" s="73">
      <c r="A1" s="1" t="n"/>
      <c r="B1" s="1" t="n"/>
      <c r="K1" s="38" t="inlineStr">
        <is>
          <t>DAVINCI RX/TX</t>
        </is>
      </c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</row>
    <row r="2" ht="72.59999999999999" customHeight="1" s="73">
      <c r="A2" s="56" t="inlineStr">
        <is>
          <t>case ID</t>
        </is>
      </c>
      <c r="B2" s="56" t="inlineStr">
        <is>
          <t xml:space="preserve">use case </t>
        </is>
      </c>
      <c r="C2" s="39" t="inlineStr">
        <is>
          <t>原图size</t>
        </is>
      </c>
      <c r="D2" s="75" t="n"/>
      <c r="E2" s="75" t="n"/>
      <c r="F2" s="75" t="n"/>
      <c r="G2" s="75" t="n"/>
      <c r="H2" s="75" t="n"/>
      <c r="I2" s="75" t="n"/>
      <c r="J2" s="76" t="n"/>
      <c r="K2" s="77" t="inlineStr">
        <is>
          <t>AP BUFFER SIZE</t>
        </is>
      </c>
      <c r="L2" s="75" t="n"/>
      <c r="M2" s="75" t="n"/>
      <c r="N2" s="75" t="n"/>
      <c r="O2" s="75" t="n"/>
      <c r="P2" s="76" t="n"/>
      <c r="Q2" s="43" t="inlineStr">
        <is>
          <t>UBWC
DEC</t>
        </is>
      </c>
      <c r="R2" s="76" t="n"/>
      <c r="S2" s="78" t="inlineStr">
        <is>
          <t>IMG Resolve
RX-IN</t>
        </is>
      </c>
      <c r="T2" s="75" t="n"/>
      <c r="U2" s="75" t="n"/>
      <c r="V2" s="75" t="n"/>
      <c r="W2" s="75" t="n"/>
      <c r="X2" s="75" t="n"/>
      <c r="Y2" s="75" t="n"/>
      <c r="Z2" s="76" t="n"/>
      <c r="AA2" s="78" t="inlineStr">
        <is>
          <t>IMG Resolve
RX-OUT</t>
        </is>
      </c>
      <c r="AB2" s="75" t="n"/>
      <c r="AC2" s="75" t="n"/>
      <c r="AD2" s="75" t="n"/>
      <c r="AE2" s="75" t="n"/>
      <c r="AF2" s="75" t="n"/>
      <c r="AG2" s="75" t="n"/>
      <c r="AH2" s="76" t="n"/>
      <c r="AI2" s="79" t="inlineStr">
        <is>
          <t>IMG Resolve
TX-IN</t>
        </is>
      </c>
      <c r="AJ2" s="76" t="n"/>
      <c r="AK2" s="79" t="inlineStr">
        <is>
          <t>IMG Resolve
TX-OUT</t>
        </is>
      </c>
      <c r="AL2" s="75" t="n"/>
      <c r="AM2" s="75" t="n"/>
      <c r="AN2" s="76" t="n"/>
      <c r="AO2" s="43" t="inlineStr">
        <is>
          <t>UBWC
ENC</t>
        </is>
      </c>
      <c r="AP2" s="76" t="n"/>
      <c r="AQ2" s="80" t="inlineStr">
        <is>
          <t>输出分辨率和帧率</t>
        </is>
      </c>
      <c r="AR2" s="75" t="n"/>
      <c r="AS2" s="76" t="n"/>
      <c r="AT2" s="81" t="inlineStr">
        <is>
          <t>位深</t>
        </is>
      </c>
      <c r="AU2" s="82" t="inlineStr">
        <is>
          <t>NNE
分辨率/放大倍率</t>
        </is>
      </c>
      <c r="AV2" s="53" t="inlineStr">
        <is>
          <t>PCIe 速率 增加1.2x 余量(压缩）</t>
        </is>
      </c>
      <c r="AW2" s="76" t="n"/>
      <c r="AX2" s="53" t="inlineStr">
        <is>
          <t>游戏/视频名称</t>
        </is>
      </c>
      <c r="AY2" s="53" t="inlineStr">
        <is>
          <t>定点c-model 结果</t>
        </is>
      </c>
      <c r="AZ2" s="83" t="inlineStr">
        <is>
          <t>网络大小以及网络版本</t>
        </is>
      </c>
      <c r="BA2" s="84" t="inlineStr">
        <is>
          <t>对比定点c-model效果确认结果</t>
        </is>
      </c>
      <c r="BB2" s="53" t="inlineStr">
        <is>
          <t>备注</t>
        </is>
      </c>
      <c r="BC2" s="39" t="inlineStr">
        <is>
          <t>AP RX
原图大小</t>
        </is>
      </c>
      <c r="BD2" s="76" t="n"/>
      <c r="BE2" s="43" t="inlineStr">
        <is>
          <t>备注</t>
        </is>
      </c>
    </row>
    <row r="3" ht="70.2" customHeight="1" s="73">
      <c r="A3" s="85" t="n"/>
      <c r="B3" s="85" t="n"/>
      <c r="C3" s="3" t="inlineStr">
        <is>
          <t>Color_W</t>
        </is>
      </c>
      <c r="D3" s="3" t="inlineStr">
        <is>
          <t>Color_H</t>
        </is>
      </c>
      <c r="E3" s="3" t="inlineStr">
        <is>
          <t>MV_H</t>
        </is>
      </c>
      <c r="F3" s="3" t="inlineStr">
        <is>
          <t>MV_V</t>
        </is>
      </c>
      <c r="G3" s="3" t="inlineStr">
        <is>
          <t>Depth_H</t>
        </is>
      </c>
      <c r="H3" s="3" t="inlineStr">
        <is>
          <t>Depth_V</t>
        </is>
      </c>
      <c r="I3" s="3" t="inlineStr">
        <is>
          <t>ui/人物flag_H</t>
        </is>
      </c>
      <c r="J3" s="3" t="inlineStr">
        <is>
          <t>ui/人物flag_V</t>
        </is>
      </c>
      <c r="K3" s="4" t="inlineStr">
        <is>
          <t>W-total</t>
        </is>
      </c>
      <c r="L3" s="4" t="inlineStr">
        <is>
          <t>H-total</t>
        </is>
      </c>
      <c r="M3" s="4" t="inlineStr">
        <is>
          <t>W-color-ratio</t>
        </is>
      </c>
      <c r="N3" s="5" t="inlineStr">
        <is>
          <t>W-color</t>
        </is>
      </c>
      <c r="O3" s="5" t="inlineStr">
        <is>
          <t>H-color-ratio</t>
        </is>
      </c>
      <c r="P3" s="5" t="inlineStr">
        <is>
          <t>H-color</t>
        </is>
      </c>
      <c r="Q3" s="6" t="inlineStr">
        <is>
          <t>W</t>
        </is>
      </c>
      <c r="R3" s="6" t="inlineStr">
        <is>
          <t>H</t>
        </is>
      </c>
      <c r="S3" s="7" t="inlineStr">
        <is>
          <t>Color_W</t>
        </is>
      </c>
      <c r="T3" s="7" t="inlineStr">
        <is>
          <t>Color_H</t>
        </is>
      </c>
      <c r="U3" s="7" t="inlineStr">
        <is>
          <t>MV_H</t>
        </is>
      </c>
      <c r="V3" s="7" t="inlineStr">
        <is>
          <t>MV_V</t>
        </is>
      </c>
      <c r="W3" s="7" t="inlineStr">
        <is>
          <t>Depth_H</t>
        </is>
      </c>
      <c r="X3" s="7" t="inlineStr">
        <is>
          <t>Depth_V</t>
        </is>
      </c>
      <c r="Y3" s="7" t="inlineStr">
        <is>
          <t>ui/人物flag_H</t>
        </is>
      </c>
      <c r="Z3" s="7" t="inlineStr">
        <is>
          <t>ui/人物flag_V</t>
        </is>
      </c>
      <c r="AA3" s="7" t="inlineStr">
        <is>
          <t>Color_W</t>
        </is>
      </c>
      <c r="AB3" s="7" t="inlineStr">
        <is>
          <t>Color_H</t>
        </is>
      </c>
      <c r="AC3" s="7" t="inlineStr">
        <is>
          <t>MV_H</t>
        </is>
      </c>
      <c r="AD3" s="7" t="inlineStr">
        <is>
          <t>MV_V</t>
        </is>
      </c>
      <c r="AE3" s="7" t="inlineStr">
        <is>
          <t>Depth_H</t>
        </is>
      </c>
      <c r="AF3" s="7" t="inlineStr">
        <is>
          <t>Depth_V</t>
        </is>
      </c>
      <c r="AG3" s="7" t="inlineStr">
        <is>
          <t>ui/人物flag_H</t>
        </is>
      </c>
      <c r="AH3" s="7" t="inlineStr">
        <is>
          <t>ui/人物flag_V</t>
        </is>
      </c>
      <c r="AI3" s="8" t="inlineStr">
        <is>
          <t>W</t>
        </is>
      </c>
      <c r="AJ3" s="8" t="inlineStr">
        <is>
          <t>H</t>
        </is>
      </c>
      <c r="AK3" s="8" t="inlineStr">
        <is>
          <t>W</t>
        </is>
      </c>
      <c r="AL3" s="8" t="inlineStr">
        <is>
          <t>H</t>
        </is>
      </c>
      <c r="AM3" s="8" t="inlineStr">
        <is>
          <t>PAD/
dummy-W</t>
        </is>
      </c>
      <c r="AN3" s="8" t="inlineStr">
        <is>
          <t>PAD/
dummy-H</t>
        </is>
      </c>
      <c r="AO3" s="6" t="inlineStr">
        <is>
          <t>W</t>
        </is>
      </c>
      <c r="AP3" s="9" t="inlineStr">
        <is>
          <t>H</t>
        </is>
      </c>
      <c r="AQ3" s="4" t="inlineStr">
        <is>
          <t>Color_H</t>
        </is>
      </c>
      <c r="AR3" s="4" t="inlineStr">
        <is>
          <t>Color_V</t>
        </is>
      </c>
      <c r="AS3" s="4" t="inlineStr">
        <is>
          <t>刷新率</t>
        </is>
      </c>
      <c r="AT3" s="86" t="n"/>
      <c r="AU3" s="86" t="n"/>
      <c r="AV3" s="10" t="inlineStr">
        <is>
          <t>PCIE RX Gbit</t>
        </is>
      </c>
      <c r="AW3" s="10" t="inlineStr">
        <is>
          <t>PCIE TX Gbit</t>
        </is>
      </c>
      <c r="AX3" s="86" t="n"/>
      <c r="AY3" s="86" t="n"/>
      <c r="AZ3" s="86" t="n"/>
      <c r="BA3" s="86" t="n"/>
      <c r="BB3" s="86" t="n"/>
      <c r="BC3" s="3" t="inlineStr">
        <is>
          <t>Color_W</t>
        </is>
      </c>
      <c r="BD3" s="11" t="inlineStr">
        <is>
          <t>Color_H</t>
        </is>
      </c>
      <c r="BE3" s="12" t="n"/>
    </row>
    <row r="4" ht="46.8" customHeight="1" s="73">
      <c r="A4" s="13" t="n">
        <v>1</v>
      </c>
      <c r="B4" s="13" t="inlineStr">
        <is>
          <t>UBWC</t>
        </is>
      </c>
      <c r="C4" s="14" t="n">
        <v>1888</v>
      </c>
      <c r="D4" s="14" t="n">
        <v>1624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4">
        <f>IF(MOD((C4+(CEILING(I4/32,1))+E4+G4/2),32)=0,(C4+(CEILING(I4/32,1))+E4+G4/2),_xlfn.CEILING.MATH((C4+(CEILING(I4/32,1))+E4+G4/2),32))</f>
        <v/>
      </c>
      <c r="L4" s="4">
        <f>IF(MOD(D4,8)=0,D4,_xlfn.CEILING.MATH(D4,8))</f>
        <v/>
      </c>
      <c r="M4" s="4">
        <f>CEILING(C4/32,1)</f>
        <v/>
      </c>
      <c r="N4" s="5">
        <f>M4*32</f>
        <v/>
      </c>
      <c r="O4" s="5">
        <f>CEILING(D4/8,1)</f>
        <v/>
      </c>
      <c r="P4" s="5">
        <f>O4*8</f>
        <v/>
      </c>
      <c r="Q4" s="16">
        <f>K4</f>
        <v/>
      </c>
      <c r="R4" s="16">
        <f>L4</f>
        <v/>
      </c>
      <c r="S4" s="7">
        <f>C4</f>
        <v/>
      </c>
      <c r="T4" s="7">
        <f>D4</f>
        <v/>
      </c>
      <c r="U4" s="17">
        <f>E4</f>
        <v/>
      </c>
      <c r="V4" s="17">
        <f>F4</f>
        <v/>
      </c>
      <c r="W4" s="17">
        <f>G4</f>
        <v/>
      </c>
      <c r="X4" s="17">
        <f>H4</f>
        <v/>
      </c>
      <c r="Y4" s="17">
        <f>I4</f>
        <v/>
      </c>
      <c r="Z4" s="17">
        <f>J4</f>
        <v/>
      </c>
      <c r="AA4" s="7">
        <f>S4</f>
        <v/>
      </c>
      <c r="AB4" s="7">
        <f>T4</f>
        <v/>
      </c>
      <c r="AC4" s="17">
        <f>U4</f>
        <v/>
      </c>
      <c r="AD4" s="17">
        <f>V4</f>
        <v/>
      </c>
      <c r="AE4" s="17">
        <f>W4</f>
        <v/>
      </c>
      <c r="AF4" s="17">
        <f>X4</f>
        <v/>
      </c>
      <c r="AG4" s="17">
        <f>Y4</f>
        <v/>
      </c>
      <c r="AH4" s="17">
        <f>Z4</f>
        <v/>
      </c>
      <c r="AI4" s="8">
        <f>AA4</f>
        <v/>
      </c>
      <c r="AJ4" s="8">
        <f>AB4</f>
        <v/>
      </c>
      <c r="AK4" s="8">
        <f>AO4</f>
        <v/>
      </c>
      <c r="AL4" s="8">
        <f>AP4</f>
        <v/>
      </c>
      <c r="AM4" s="8">
        <f>AK4-AI4</f>
        <v/>
      </c>
      <c r="AN4" s="8">
        <f>AL4-AJ4</f>
        <v/>
      </c>
      <c r="AO4" s="18">
        <f>N4</f>
        <v/>
      </c>
      <c r="AP4" s="18">
        <f>P4</f>
        <v/>
      </c>
      <c r="AQ4" s="19" t="n">
        <v>1440</v>
      </c>
      <c r="AR4" s="20" t="n">
        <v>3200</v>
      </c>
      <c r="AS4" s="20" t="n">
        <v>60</v>
      </c>
      <c r="AT4" s="21" t="n">
        <v>32</v>
      </c>
      <c r="AU4" s="22" t="inlineStr">
        <is>
          <t>720P</t>
        </is>
      </c>
      <c r="AV4" s="87">
        <f>K4*L4*#REF!*AT4*1.2/1000/1000/1000/2</f>
        <v/>
      </c>
      <c r="AW4" s="87">
        <f>AQ4*AR4*AS4*AT4*1.2/1000/1000/1000/2</f>
        <v/>
      </c>
      <c r="AX4" s="88" t="inlineStr">
        <is>
          <t>团队空间/芯片迭代/JLogic集朗/vivo算法评估/Q5VSR验证Cmodel数据/ldr_flag_1620x736_mengde_1.zip</t>
        </is>
      </c>
      <c r="AY4" s="89" t="n"/>
      <c r="AZ4" s="90" t="n"/>
      <c r="BA4" s="90" t="n"/>
      <c r="BB4" s="90" t="n"/>
      <c r="BC4" s="27">
        <f>C4</f>
        <v/>
      </c>
      <c r="BD4" s="27">
        <f>D4</f>
        <v/>
      </c>
      <c r="BE4" s="91" t="inlineStr">
        <is>
          <t>UBWC ENC OUT与AP收到的原图尺寸差异-padding，由AP端处理</t>
        </is>
      </c>
    </row>
    <row r="5" ht="46.8" customHeight="1" s="73">
      <c r="A5" s="13" t="n">
        <v>2</v>
      </c>
      <c r="B5" s="92" t="n"/>
      <c r="C5" s="3" t="n">
        <v>720</v>
      </c>
      <c r="D5" s="3" t="n">
        <v>1548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4">
        <f>IF(MOD((C5+(CEILING(I5/32,1))+E5+G5/2),32)=0,(C5+(CEILING(I5/32,1))+E5+G5/2),_xlfn.CEILING.MATH((C5+(CEILING(I5/32,1))+E5+G5/2),32))</f>
        <v/>
      </c>
      <c r="L5" s="4">
        <f>IF(MOD(D5,8)=0,D5,_xlfn.CEILING.MATH(D5,8))</f>
        <v/>
      </c>
      <c r="M5" s="4">
        <f>CEILING(C5/32,1)</f>
        <v/>
      </c>
      <c r="N5" s="5">
        <f>M5*32</f>
        <v/>
      </c>
      <c r="O5" s="5">
        <f>CEILING(D5/8,1)</f>
        <v/>
      </c>
      <c r="P5" s="5">
        <f>O5*8</f>
        <v/>
      </c>
      <c r="Q5" s="16">
        <f>K5</f>
        <v/>
      </c>
      <c r="R5" s="16">
        <f>L5</f>
        <v/>
      </c>
      <c r="S5" s="7">
        <f>C5</f>
        <v/>
      </c>
      <c r="T5" s="7">
        <f>D5</f>
        <v/>
      </c>
      <c r="U5" s="17">
        <f>E5</f>
        <v/>
      </c>
      <c r="V5" s="17">
        <f>F5</f>
        <v/>
      </c>
      <c r="W5" s="17">
        <f>G5</f>
        <v/>
      </c>
      <c r="X5" s="17">
        <f>H5</f>
        <v/>
      </c>
      <c r="Y5" s="17">
        <f>I5</f>
        <v/>
      </c>
      <c r="Z5" s="17">
        <f>J5</f>
        <v/>
      </c>
      <c r="AA5" s="7">
        <f>S5</f>
        <v/>
      </c>
      <c r="AB5" s="7">
        <f>T5</f>
        <v/>
      </c>
      <c r="AC5" s="17">
        <f>U5</f>
        <v/>
      </c>
      <c r="AD5" s="17">
        <f>V5</f>
        <v/>
      </c>
      <c r="AE5" s="17">
        <f>W5</f>
        <v/>
      </c>
      <c r="AF5" s="17">
        <f>X5</f>
        <v/>
      </c>
      <c r="AG5" s="17">
        <f>Y5</f>
        <v/>
      </c>
      <c r="AH5" s="17">
        <f>Z5</f>
        <v/>
      </c>
      <c r="AI5" s="8">
        <f>AA5</f>
        <v/>
      </c>
      <c r="AJ5" s="8">
        <f>AB5</f>
        <v/>
      </c>
      <c r="AK5" s="8">
        <f>AO5</f>
        <v/>
      </c>
      <c r="AL5" s="8">
        <f>AP5</f>
        <v/>
      </c>
      <c r="AM5" s="8">
        <f>AK5-AI5</f>
        <v/>
      </c>
      <c r="AN5" s="28">
        <f>AL5-AJ5</f>
        <v/>
      </c>
      <c r="AO5" s="18">
        <f>N5</f>
        <v/>
      </c>
      <c r="AP5" s="18">
        <f>P5</f>
        <v/>
      </c>
      <c r="AQ5" s="29" t="n">
        <v>1440</v>
      </c>
      <c r="AR5" s="21" t="n">
        <v>3200</v>
      </c>
      <c r="AS5" s="21" t="n">
        <v>60</v>
      </c>
      <c r="AT5" s="21" t="n">
        <v>32</v>
      </c>
      <c r="AU5" s="22" t="inlineStr">
        <is>
          <t>做2X</t>
        </is>
      </c>
      <c r="AV5" s="87">
        <f>K5*L5*#REF!*AT5*1.2/1000/1000/1000/2</f>
        <v/>
      </c>
      <c r="AW5" s="87">
        <f>AQ5*AR5*AS5*AT5*1.2/1000/1000/1000/2</f>
        <v/>
      </c>
      <c r="AX5" s="93" t="inlineStr">
        <is>
          <t>团队空间/芯片迭代/Q5平板仿真素材/Q5游戏&amp;视频验收/AISR-FPGA验收/火影忍者</t>
        </is>
      </c>
      <c r="AY5" s="89" t="n"/>
      <c r="AZ5" s="90" t="n"/>
      <c r="BA5" s="90" t="n"/>
      <c r="BB5" s="94" t="n"/>
      <c r="BC5" s="32">
        <f>C5</f>
        <v/>
      </c>
      <c r="BD5" s="32">
        <f>D5</f>
        <v/>
      </c>
      <c r="BE5" s="92" t="n"/>
    </row>
    <row r="6" ht="46.8" customHeight="1" s="73">
      <c r="A6" s="13" t="n">
        <v>3</v>
      </c>
      <c r="B6" s="92" t="n"/>
      <c r="C6" s="33" t="n">
        <v>2080</v>
      </c>
      <c r="D6" s="33" t="n">
        <v>1800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4">
        <f>IF(MOD((C6+(CEILING(I6/32,1))+E6+G6/2),32)=0,(C6+(CEILING(I6/32,1))+E6+G6/2),_xlfn.CEILING.MATH((C6+(CEILING(I6/32,1))+E6+G6/2),32))</f>
        <v/>
      </c>
      <c r="L6" s="4">
        <f>IF(MOD(D6,8)=0,D6,_xlfn.CEILING.MATH(D6,8))</f>
        <v/>
      </c>
      <c r="M6" s="4">
        <f>CEILING(C6/32,1)</f>
        <v/>
      </c>
      <c r="N6" s="5">
        <f>M6*32</f>
        <v/>
      </c>
      <c r="O6" s="5">
        <f>CEILING(D6/8,1)</f>
        <v/>
      </c>
      <c r="P6" s="5">
        <f>O6*8</f>
        <v/>
      </c>
      <c r="Q6" s="16">
        <f>K6</f>
        <v/>
      </c>
      <c r="R6" s="16">
        <f>L6</f>
        <v/>
      </c>
      <c r="S6" s="7">
        <f>C6</f>
        <v/>
      </c>
      <c r="T6" s="7">
        <f>D6</f>
        <v/>
      </c>
      <c r="U6" s="17">
        <f>E6</f>
        <v/>
      </c>
      <c r="V6" s="17">
        <f>F6</f>
        <v/>
      </c>
      <c r="W6" s="17">
        <f>G6</f>
        <v/>
      </c>
      <c r="X6" s="17">
        <f>H6</f>
        <v/>
      </c>
      <c r="Y6" s="17">
        <f>I6</f>
        <v/>
      </c>
      <c r="Z6" s="17">
        <f>J6</f>
        <v/>
      </c>
      <c r="AA6" s="7">
        <f>S6</f>
        <v/>
      </c>
      <c r="AB6" s="7">
        <f>T6</f>
        <v/>
      </c>
      <c r="AC6" s="17">
        <f>U6</f>
        <v/>
      </c>
      <c r="AD6" s="17">
        <f>V6</f>
        <v/>
      </c>
      <c r="AE6" s="17">
        <f>W6</f>
        <v/>
      </c>
      <c r="AF6" s="17">
        <f>X6</f>
        <v/>
      </c>
      <c r="AG6" s="17">
        <f>Y6</f>
        <v/>
      </c>
      <c r="AH6" s="17">
        <f>Z6</f>
        <v/>
      </c>
      <c r="AI6" s="8">
        <f>AA6</f>
        <v/>
      </c>
      <c r="AJ6" s="8">
        <f>AB6</f>
        <v/>
      </c>
      <c r="AK6" s="8">
        <f>AO6</f>
        <v/>
      </c>
      <c r="AL6" s="8">
        <f>AP6</f>
        <v/>
      </c>
      <c r="AM6" s="8">
        <f>AK6-AI6</f>
        <v/>
      </c>
      <c r="AN6" s="28">
        <f>AL6-AJ6</f>
        <v/>
      </c>
      <c r="AO6" s="18">
        <f>N6</f>
        <v/>
      </c>
      <c r="AP6" s="18">
        <f>P6</f>
        <v/>
      </c>
      <c r="AQ6" s="21" t="n">
        <v>1440</v>
      </c>
      <c r="AR6" s="21" t="n">
        <v>3200</v>
      </c>
      <c r="AS6" s="21" t="n">
        <v>60</v>
      </c>
      <c r="AT6" s="21" t="n">
        <v>32</v>
      </c>
      <c r="AU6" s="22" t="inlineStr">
        <is>
          <t>做3X</t>
        </is>
      </c>
      <c r="AV6" s="87">
        <f>K6*L6*#REF!*AT6*1.2/1000/1000/1000/2</f>
        <v/>
      </c>
      <c r="AW6" s="87">
        <f>AQ6*AR6*AS6*AT6*1.2/1000/1000/1000/2</f>
        <v/>
      </c>
      <c r="AX6" s="93" t="inlineStr">
        <is>
          <t>团队空间/芯片迭代/Q5平板仿真素材/Q6游戏&amp;视频验收/AISR-FPGA验收/火影忍者</t>
        </is>
      </c>
      <c r="AY6" s="93" t="n"/>
      <c r="AZ6" s="87" t="n"/>
      <c r="BA6" s="87" t="n"/>
      <c r="BB6" s="95" t="n"/>
      <c r="BC6" s="27">
        <f>C6</f>
        <v/>
      </c>
      <c r="BD6" s="27">
        <f>D6</f>
        <v/>
      </c>
      <c r="BE6" s="92" t="n"/>
    </row>
    <row r="7" ht="70.2" customHeight="1" s="73">
      <c r="A7" s="13" t="n">
        <v>4</v>
      </c>
      <c r="B7" s="92" t="n"/>
      <c r="C7" s="3" t="n">
        <v>970</v>
      </c>
      <c r="D7" s="3" t="n">
        <v>2134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4">
        <f>IF(MOD((C7+(CEILING(I7/32,1))+E7+G7/2),32)=0,(C7+(CEILING(I7/32,1))+E7+G7/2),_xlfn.CEILING.MATH((C7+(CEILING(I7/32,1))+E7+G7/2),32))</f>
        <v/>
      </c>
      <c r="L7" s="4">
        <f>IF(MOD(D7,8)=0,D7,_xlfn.CEILING.MATH(D7,8))</f>
        <v/>
      </c>
      <c r="M7" s="4">
        <f>CEILING(C7/32,1)</f>
        <v/>
      </c>
      <c r="N7" s="5">
        <f>M7*32</f>
        <v/>
      </c>
      <c r="O7" s="5">
        <f>CEILING(D7/8,1)</f>
        <v/>
      </c>
      <c r="P7" s="5">
        <f>O7*8</f>
        <v/>
      </c>
      <c r="Q7" s="16">
        <f>K7</f>
        <v/>
      </c>
      <c r="R7" s="16">
        <f>L7</f>
        <v/>
      </c>
      <c r="S7" s="7">
        <f>C7</f>
        <v/>
      </c>
      <c r="T7" s="7">
        <f>D7</f>
        <v/>
      </c>
      <c r="U7" s="17">
        <f>E7</f>
        <v/>
      </c>
      <c r="V7" s="17">
        <f>F7</f>
        <v/>
      </c>
      <c r="W7" s="17">
        <f>G7</f>
        <v/>
      </c>
      <c r="X7" s="17">
        <f>H7</f>
        <v/>
      </c>
      <c r="Y7" s="17">
        <f>I7</f>
        <v/>
      </c>
      <c r="Z7" s="17">
        <f>J7</f>
        <v/>
      </c>
      <c r="AA7" s="7">
        <f>S7</f>
        <v/>
      </c>
      <c r="AB7" s="7">
        <f>T7</f>
        <v/>
      </c>
      <c r="AC7" s="17">
        <f>U7</f>
        <v/>
      </c>
      <c r="AD7" s="17">
        <f>V7</f>
        <v/>
      </c>
      <c r="AE7" s="17">
        <f>W7</f>
        <v/>
      </c>
      <c r="AF7" s="17">
        <f>X7</f>
        <v/>
      </c>
      <c r="AG7" s="17">
        <f>Y7</f>
        <v/>
      </c>
      <c r="AH7" s="17">
        <f>Z7</f>
        <v/>
      </c>
      <c r="AI7" s="8">
        <f>AA7</f>
        <v/>
      </c>
      <c r="AJ7" s="8">
        <f>AB7</f>
        <v/>
      </c>
      <c r="AK7" s="8">
        <f>AO7</f>
        <v/>
      </c>
      <c r="AL7" s="8">
        <f>AP7</f>
        <v/>
      </c>
      <c r="AM7" s="8">
        <f>AK7-AI7</f>
        <v/>
      </c>
      <c r="AN7" s="28">
        <f>AL7-AJ7</f>
        <v/>
      </c>
      <c r="AO7" s="18">
        <f>N7</f>
        <v/>
      </c>
      <c r="AP7" s="18">
        <f>P7</f>
        <v/>
      </c>
      <c r="AQ7" s="29" t="n">
        <v>1440</v>
      </c>
      <c r="AR7" s="21" t="n">
        <v>3200</v>
      </c>
      <c r="AS7" s="21" t="n">
        <v>60</v>
      </c>
      <c r="AT7" s="21" t="n">
        <v>32</v>
      </c>
      <c r="AU7" s="35" t="inlineStr">
        <is>
          <t>做1x/1.33x</t>
        </is>
      </c>
      <c r="AV7" s="87">
        <f>K7*L7*#REF!*AT7*1.2/1000/1000/1000/2</f>
        <v/>
      </c>
      <c r="AW7" s="87">
        <f>AQ7*AR7*AS7*AT7*1.2/1000/1000/1000/2</f>
        <v/>
      </c>
      <c r="AX7" s="93" t="inlineStr">
        <is>
          <t>团队空间/芯片迭代/Q5平板仿真素材/Q5游戏&amp;视频验收/AISR-FPGA验收/王者荣耀</t>
        </is>
      </c>
      <c r="AY7" s="93" t="n"/>
      <c r="AZ7" s="87" t="n"/>
      <c r="BA7" s="87" t="n"/>
      <c r="BB7" s="95" t="n"/>
      <c r="BC7" s="32">
        <f>C7</f>
        <v/>
      </c>
      <c r="BD7" s="32">
        <f>D7</f>
        <v/>
      </c>
      <c r="BE7" s="86" t="n"/>
    </row>
    <row r="8" ht="70.2" customHeight="1" s="73">
      <c r="A8" s="13" t="n">
        <v>5</v>
      </c>
      <c r="B8" s="86" t="n"/>
      <c r="C8" s="3" t="n">
        <v>970</v>
      </c>
      <c r="D8" s="3" t="n">
        <v>2134</v>
      </c>
      <c r="E8" s="3" t="n">
        <v>970</v>
      </c>
      <c r="F8" s="3" t="n">
        <v>2134</v>
      </c>
      <c r="G8" s="3" t="n">
        <v>970</v>
      </c>
      <c r="H8" s="3" t="n">
        <v>2134</v>
      </c>
      <c r="I8" s="3" t="n">
        <v>970</v>
      </c>
      <c r="J8" s="3" t="n">
        <v>2134</v>
      </c>
      <c r="K8" s="4">
        <f>IF(MOD((C8+(CEILING(I8/32,1))+E8+G8/2),32)=0,(C8+(CEILING(I8/32,1))+E8+G8/2),_xlfn.CEILING.MATH((C8+(CEILING(I8/32,1))+E8+G8/2),32))</f>
        <v/>
      </c>
      <c r="L8" s="4">
        <f>IF(MOD(D8,8)=0,D8,_xlfn.CEILING.MATH(D8,8))</f>
        <v/>
      </c>
      <c r="M8" s="4">
        <f>CEILING(C8/32,1)</f>
        <v/>
      </c>
      <c r="N8" s="5">
        <f>M8*32</f>
        <v/>
      </c>
      <c r="O8" s="5">
        <f>CEILING(D8/8,1)</f>
        <v/>
      </c>
      <c r="P8" s="5">
        <f>O8*8</f>
        <v/>
      </c>
      <c r="Q8" s="16">
        <f>K8</f>
        <v/>
      </c>
      <c r="R8" s="16">
        <f>L8</f>
        <v/>
      </c>
      <c r="S8" s="7">
        <f>C8</f>
        <v/>
      </c>
      <c r="T8" s="7">
        <f>D8</f>
        <v/>
      </c>
      <c r="U8" s="7">
        <f>E8</f>
        <v/>
      </c>
      <c r="V8" s="7">
        <f>F8</f>
        <v/>
      </c>
      <c r="W8" s="7">
        <f>G8</f>
        <v/>
      </c>
      <c r="X8" s="7">
        <f>H8</f>
        <v/>
      </c>
      <c r="Y8" s="7">
        <f>I8</f>
        <v/>
      </c>
      <c r="Z8" s="7">
        <f>J8</f>
        <v/>
      </c>
      <c r="AA8" s="7">
        <f>S8</f>
        <v/>
      </c>
      <c r="AB8" s="7">
        <f>T8</f>
        <v/>
      </c>
      <c r="AC8" s="7">
        <f>U8</f>
        <v/>
      </c>
      <c r="AD8" s="7">
        <f>V8</f>
        <v/>
      </c>
      <c r="AE8" s="7">
        <f>W8</f>
        <v/>
      </c>
      <c r="AF8" s="7">
        <f>X8</f>
        <v/>
      </c>
      <c r="AG8" s="7">
        <f>Y8</f>
        <v/>
      </c>
      <c r="AH8" s="7">
        <f>Z8</f>
        <v/>
      </c>
      <c r="AI8" s="8">
        <f>AA8</f>
        <v/>
      </c>
      <c r="AJ8" s="8">
        <f>AB8</f>
        <v/>
      </c>
      <c r="AK8" s="36">
        <f>AO8</f>
        <v/>
      </c>
      <c r="AL8" s="36">
        <f>AP8</f>
        <v/>
      </c>
      <c r="AM8" s="36">
        <f>AK8-AI8</f>
        <v/>
      </c>
      <c r="AN8" s="37">
        <f>AL8-AJ8</f>
        <v/>
      </c>
      <c r="AO8" s="18">
        <f>N8</f>
        <v/>
      </c>
      <c r="AP8" s="18">
        <f>P8</f>
        <v/>
      </c>
      <c r="AQ8" s="29" t="n">
        <v>1440</v>
      </c>
      <c r="AR8" s="21" t="n">
        <v>3200</v>
      </c>
      <c r="AS8" s="21" t="n">
        <v>60</v>
      </c>
      <c r="AT8" s="21" t="n">
        <v>32</v>
      </c>
      <c r="AU8" s="35" t="inlineStr">
        <is>
          <t>做1x/1.34x</t>
        </is>
      </c>
      <c r="AV8" s="87">
        <f>K8*L8*#REF!*AT8*1.2/1000/1000/1000/2</f>
        <v/>
      </c>
      <c r="AW8" s="87">
        <f>AQ8*AR8*AS8*AT8*1.2/1000/1000/1000/2</f>
        <v/>
      </c>
      <c r="AX8" s="93" t="inlineStr">
        <is>
          <t>团队空间/芯片迭代/Q5平板仿真素材/Q6游戏&amp;视频验收/AISR-FPGA验收/王者荣耀</t>
        </is>
      </c>
      <c r="AY8" s="93" t="n"/>
      <c r="AZ8" s="87" t="n"/>
      <c r="BA8" s="87" t="n"/>
      <c r="BB8" s="95" t="n"/>
      <c r="BC8" s="32">
        <f>C8</f>
        <v/>
      </c>
      <c r="BD8" s="32">
        <f>D8</f>
        <v/>
      </c>
      <c r="BE8" s="12" t="n"/>
    </row>
    <row r="10">
      <c r="M10" s="0">
        <f>C4/32</f>
        <v/>
      </c>
      <c r="Q10" s="0">
        <f>1888/16</f>
        <v/>
      </c>
      <c r="R10" s="0">
        <f>1624/4</f>
        <v/>
      </c>
    </row>
  </sheetData>
  <mergeCells count="23">
    <mergeCell ref="AO2:AP2"/>
    <mergeCell ref="BE4:BE7"/>
    <mergeCell ref="B2:B3"/>
    <mergeCell ref="BC2:BD2"/>
    <mergeCell ref="AQ2:AS2"/>
    <mergeCell ref="AX2:AX3"/>
    <mergeCell ref="AK2:AN2"/>
    <mergeCell ref="K2:P2"/>
    <mergeCell ref="S2:Z2"/>
    <mergeCell ref="AV2:AW2"/>
    <mergeCell ref="B4:B8"/>
    <mergeCell ref="A2:A3"/>
    <mergeCell ref="AY2:AY3"/>
    <mergeCell ref="K1:AS1"/>
    <mergeCell ref="C2:J2"/>
    <mergeCell ref="AT2:AT3"/>
    <mergeCell ref="AZ2:AZ3"/>
    <mergeCell ref="BB2:BB3"/>
    <mergeCell ref="AU2:AU3"/>
    <mergeCell ref="Q2:R2"/>
    <mergeCell ref="AI2:AJ2"/>
    <mergeCell ref="AA2:AH2"/>
    <mergeCell ref="BA2:BA3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style="73" min="1" max="1"/>
    <col width="14" customWidth="1" style="73" min="2" max="2"/>
    <col width="10" customWidth="1" style="73" min="3" max="3"/>
    <col width="10" customWidth="1" style="73" min="4" max="4"/>
    <col width="18" customWidth="1" style="73" min="5" max="5"/>
    <col width="12" customWidth="1" style="73" min="6" max="6"/>
    <col width="9" customWidth="1" style="73" min="7" max="7"/>
    <col width="9" customWidth="1" style="73" min="8" max="8"/>
    <col width="12" customWidth="1" style="73" min="9" max="9"/>
    <col width="14" customWidth="1" style="73" min="10" max="10"/>
    <col width="13" customWidth="1" style="73" min="11" max="11"/>
    <col width="13" customWidth="1" style="73" min="12" max="12"/>
    <col width="12" customWidth="1" style="73" min="13" max="13"/>
    <col width="12" customWidth="1" style="73" min="14" max="14"/>
    <col width="10" customWidth="1" style="73" min="15" max="15"/>
    <col width="10" customWidth="1" style="73" min="16" max="16"/>
    <col width="11" customWidth="1" style="73" min="17" max="17"/>
    <col width="11" customWidth="1" style="73" min="18" max="18"/>
    <col width="11" customWidth="1" style="73" min="19" max="19"/>
    <col width="11" customWidth="1" style="73" min="20" max="20"/>
    <col width="11" customWidth="1" style="73" min="21" max="21"/>
    <col width="11" customWidth="1" style="73" min="22" max="22"/>
    <col width="11" customWidth="1" style="73" min="23" max="23"/>
    <col width="18" customWidth="1" style="73" min="24" max="24"/>
    <col width="18" customWidth="1" style="73" min="25" max="25"/>
    <col width="18" customWidth="1" style="73" min="26" max="26"/>
    <col width="18" customWidth="1" style="73" min="27" max="27"/>
    <col width="18" customWidth="1" style="73" min="28" max="28"/>
    <col width="18" customWidth="1" style="73" min="29" max="29"/>
    <col width="18" customWidth="1" style="73" min="30" max="30"/>
    <col width="18" customWidth="1" style="73" min="31" max="31"/>
    <col width="18" customWidth="1" style="73" min="32" max="32"/>
    <col width="18" customWidth="1" style="73" min="33" max="33"/>
    <col width="18" customWidth="1" style="73" min="34" max="34"/>
    <col width="18" customWidth="1" style="73" min="35" max="35"/>
    <col width="18" customWidth="1" style="73" min="36" max="36"/>
    <col width="18" customWidth="1" style="73" min="37" max="37"/>
    <col width="18" customWidth="1" style="73" min="38" max="38"/>
    <col width="18" customWidth="1" style="73" min="39" max="39"/>
    <col width="48" customWidth="1" style="73" min="40" max="40"/>
    <col width="20" customWidth="1" style="73" min="41" max="41"/>
  </cols>
  <sheetData>
    <row r="1" ht="24" customHeight="1" s="73">
      <c r="A1" s="96" t="inlineStr">
        <is>
          <t>UBWC ENC/DEC 寄存器配置参考</t>
        </is>
      </c>
    </row>
    <row r="2" ht="34" customHeight="1" s="73">
      <c r="A2" s="97" t="inlineStr">
        <is>
          <t>使用规则</t>
        </is>
      </c>
      <c r="B2" s="98" t="inlineStr">
        <is>
          <t>REG_OTF_CFG1 / DEC OTF timing 的 active 宽高应配置实际 OTF 流或输出 active 区域；metadata/tile layout 使用 stored/layout 对齐尺寸。</t>
        </is>
      </c>
      <c r="C2" s="104" t="n"/>
      <c r="D2" s="104" t="n"/>
      <c r="E2" s="104" t="n"/>
      <c r="F2" s="104" t="n"/>
      <c r="G2" s="104" t="n"/>
      <c r="H2" s="104" t="n"/>
      <c r="I2" s="104" t="n"/>
      <c r="J2" s="104" t="n"/>
      <c r="K2" s="104" t="n"/>
      <c r="L2" s="104" t="n"/>
      <c r="M2" s="104" t="n"/>
      <c r="N2" s="104" t="n"/>
      <c r="O2" s="104" t="n"/>
      <c r="P2" s="104" t="n"/>
      <c r="Q2" s="104" t="n"/>
      <c r="R2" s="104" t="n"/>
      <c r="S2" s="104" t="n"/>
      <c r="T2" s="104" t="n"/>
      <c r="U2" s="104" t="n"/>
      <c r="V2" s="104" t="n"/>
      <c r="W2" s="104" t="n"/>
      <c r="X2" s="104" t="n"/>
      <c r="Y2" s="104" t="n"/>
      <c r="Z2" s="104" t="n"/>
      <c r="AA2" s="104" t="n"/>
      <c r="AB2" s="104" t="n"/>
      <c r="AC2" s="104" t="n"/>
      <c r="AD2" s="104" t="n"/>
      <c r="AE2" s="104" t="n"/>
      <c r="AF2" s="104" t="n"/>
      <c r="AG2" s="104" t="n"/>
      <c r="AH2" s="104" t="n"/>
      <c r="AI2" s="104" t="n"/>
      <c r="AJ2" s="104" t="n"/>
      <c r="AK2" s="104" t="n"/>
      <c r="AL2" s="104" t="n"/>
      <c r="AM2" s="104" t="n"/>
      <c r="AN2" s="105" t="n"/>
    </row>
    <row r="3" ht="34" customHeight="1" s="73">
      <c r="A3" s="97" t="inlineStr">
        <is>
          <t>ENC</t>
        </is>
      </c>
      <c r="B3" s="98" t="inlineStr">
        <is>
          <t>若 OTF 输入流已经包含 padding，J 列选择“是”，ENC REG_OTF_CFG1 使用 padding W/H；REG_META_ACTIVE_SIZE 仍使用原图 active W/H。</t>
        </is>
      </c>
      <c r="C3" s="104" t="n"/>
      <c r="D3" s="104" t="n"/>
      <c r="E3" s="104" t="n"/>
      <c r="F3" s="104" t="n"/>
      <c r="G3" s="104" t="n"/>
      <c r="H3" s="104" t="n"/>
      <c r="I3" s="104" t="n"/>
      <c r="J3" s="104" t="n"/>
      <c r="K3" s="104" t="n"/>
      <c r="L3" s="104" t="n"/>
      <c r="M3" s="104" t="n"/>
      <c r="N3" s="104" t="n"/>
      <c r="O3" s="104" t="n"/>
      <c r="P3" s="104" t="n"/>
      <c r="Q3" s="104" t="n"/>
      <c r="R3" s="104" t="n"/>
      <c r="S3" s="104" t="n"/>
      <c r="T3" s="104" t="n"/>
      <c r="U3" s="104" t="n"/>
      <c r="V3" s="104" t="n"/>
      <c r="W3" s="104" t="n"/>
      <c r="X3" s="104" t="n"/>
      <c r="Y3" s="104" t="n"/>
      <c r="Z3" s="104" t="n"/>
      <c r="AA3" s="104" t="n"/>
      <c r="AB3" s="104" t="n"/>
      <c r="AC3" s="104" t="n"/>
      <c r="AD3" s="104" t="n"/>
      <c r="AE3" s="104" t="n"/>
      <c r="AF3" s="104" t="n"/>
      <c r="AG3" s="104" t="n"/>
      <c r="AH3" s="104" t="n"/>
      <c r="AI3" s="104" t="n"/>
      <c r="AJ3" s="104" t="n"/>
      <c r="AK3" s="104" t="n"/>
      <c r="AL3" s="104" t="n"/>
      <c r="AM3" s="104" t="n"/>
      <c r="AN3" s="105" t="n"/>
    </row>
    <row r="4" ht="34" customHeight="1" s="73">
      <c r="A4" s="97" t="inlineStr">
        <is>
          <t>DEC</t>
        </is>
      </c>
      <c r="B4" s="98" t="inlineStr">
        <is>
          <t>DEC 输出 OTF 的 h_act/v_act 使用原图 active W/H，不使用 stored_h/padding_h；stored/layout 只影响 META_CFG0、pitch 和地址 layout。</t>
        </is>
      </c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104" t="n"/>
      <c r="AJ4" s="104" t="n"/>
      <c r="AK4" s="104" t="n"/>
      <c r="AL4" s="104" t="n"/>
      <c r="AM4" s="104" t="n"/>
      <c r="AN4" s="105" t="n"/>
    </row>
    <row r="5" ht="34" customHeight="1" s="73">
      <c r="A5" s="97" t="inlineStr">
        <is>
          <t>地址寄存器</t>
        </is>
      </c>
      <c r="B5" s="98" t="inlineStr">
        <is>
          <t>每帧地址仍按实际 buffer base 写 META_Y、TILE_Y、META_UV、TILE_UV 的 low/high；本表只计算静态/几何/timing 寄存器。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4" t="n"/>
      <c r="AB5" s="104" t="n"/>
      <c r="AC5" s="104" t="n"/>
      <c r="AD5" s="104" t="n"/>
      <c r="AE5" s="104" t="n"/>
      <c r="AF5" s="104" t="n"/>
      <c r="AG5" s="104" t="n"/>
      <c r="AH5" s="104" t="n"/>
      <c r="AI5" s="104" t="n"/>
      <c r="AJ5" s="104" t="n"/>
      <c r="AK5" s="104" t="n"/>
      <c r="AL5" s="104" t="n"/>
      <c r="AM5" s="104" t="n"/>
      <c r="AN5" s="105" t="n"/>
    </row>
    <row r="6" ht="34" customHeight="1" s="73">
      <c r="A6" s="97" t="inlineStr">
        <is>
          <t>固定配置参考</t>
        </is>
      </c>
      <c r="B6" s="98" t="inlineStr">
        <is>
          <t>ENC CI_CFG0=0x00000701；DEC TILE_CFG2=0x00000001；DEC VIVO_CFG=0x00000001；IRQ enable 需要时写 bit0=1，start 每帧写 bit5=1。</t>
        </is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  <c r="N6" s="104" t="n"/>
      <c r="O6" s="104" t="n"/>
      <c r="P6" s="104" t="n"/>
      <c r="Q6" s="104" t="n"/>
      <c r="R6" s="104" t="n"/>
      <c r="S6" s="104" t="n"/>
      <c r="T6" s="104" t="n"/>
      <c r="U6" s="104" t="n"/>
      <c r="V6" s="104" t="n"/>
      <c r="W6" s="104" t="n"/>
      <c r="X6" s="104" t="n"/>
      <c r="Y6" s="104" t="n"/>
      <c r="Z6" s="104" t="n"/>
      <c r="AA6" s="104" t="n"/>
      <c r="AB6" s="104" t="n"/>
      <c r="AC6" s="104" t="n"/>
      <c r="AD6" s="104" t="n"/>
      <c r="AE6" s="104" t="n"/>
      <c r="AF6" s="104" t="n"/>
      <c r="AG6" s="104" t="n"/>
      <c r="AH6" s="104" t="n"/>
      <c r="AI6" s="104" t="n"/>
      <c r="AJ6" s="104" t="n"/>
      <c r="AK6" s="104" t="n"/>
      <c r="AL6" s="104" t="n"/>
      <c r="AM6" s="104" t="n"/>
      <c r="AN6" s="105" t="n"/>
    </row>
    <row r="8" ht="42" customHeight="1" s="73">
      <c r="A8" s="106" t="inlineStr">
        <is>
          <t>case ID</t>
        </is>
      </c>
      <c r="B8" s="106" t="inlineStr">
        <is>
          <t>use case</t>
        </is>
      </c>
      <c r="C8" s="106" t="inlineStr">
        <is>
          <t>原图_W</t>
        </is>
      </c>
      <c r="D8" s="106" t="inlineStr">
        <is>
          <t>原图_H</t>
        </is>
      </c>
      <c r="E8" s="106" t="inlineStr">
        <is>
          <t>格式</t>
        </is>
      </c>
      <c r="F8" s="106" t="inlineStr">
        <is>
          <t>format_code</t>
        </is>
      </c>
      <c r="G8" s="106" t="inlineStr">
        <is>
          <t>tile_w</t>
        </is>
      </c>
      <c r="H8" s="106" t="inlineStr">
        <is>
          <t>tile_h</t>
        </is>
      </c>
      <c r="I8" s="106" t="inlineStr">
        <is>
          <t>bpp(Y/RGBA)</t>
        </is>
      </c>
      <c r="J8" s="106" t="inlineStr">
        <is>
          <t>OTF使用padding?</t>
        </is>
      </c>
      <c r="K8" s="106" t="inlineStr">
        <is>
          <t>原表padding_W</t>
        </is>
      </c>
      <c r="L8" s="106" t="inlineStr">
        <is>
          <t>原表padding_H</t>
        </is>
      </c>
      <c r="M8" s="106" t="inlineStr">
        <is>
          <t>ENC_OTF_W</t>
        </is>
      </c>
      <c r="N8" s="106" t="inlineStr">
        <is>
          <t>ENC_OTF_H</t>
        </is>
      </c>
      <c r="O8" s="106" t="inlineStr">
        <is>
          <t>active_W</t>
        </is>
      </c>
      <c r="P8" s="106" t="inlineStr">
        <is>
          <t>active_H</t>
        </is>
      </c>
      <c r="Q8" s="106" t="inlineStr">
        <is>
          <t>stored_W</t>
        </is>
      </c>
      <c r="R8" s="106" t="inlineStr">
        <is>
          <t>stored_H</t>
        </is>
      </c>
      <c r="S8" s="106" t="inlineStr">
        <is>
          <t>Y_tile_cols</t>
        </is>
      </c>
      <c r="T8" s="106" t="inlineStr">
        <is>
          <t>Y_tile_rows</t>
        </is>
      </c>
      <c r="U8" s="106" t="inlineStr">
        <is>
          <t>UV_tile_cols</t>
        </is>
      </c>
      <c r="V8" s="106" t="inlineStr">
        <is>
          <t>meta_pitch</t>
        </is>
      </c>
      <c r="W8" s="106" t="inlineStr">
        <is>
          <t>tile_pitch</t>
        </is>
      </c>
      <c r="X8" s="106" t="inlineStr">
        <is>
          <t>ENC 0x00C TILE_CFG1</t>
        </is>
      </c>
      <c r="Y8" s="106" t="inlineStr">
        <is>
          <t>ENC 0x020 OTF_CFG0</t>
        </is>
      </c>
      <c r="Z8" s="106" t="inlineStr">
        <is>
          <t>ENC 0x024 OTF_CFG1</t>
        </is>
      </c>
      <c r="AA8" s="106" t="inlineStr">
        <is>
          <t>ENC 0x028 OTF_CFG2</t>
        </is>
      </c>
      <c r="AB8" s="106" t="inlineStr">
        <is>
          <t>ENC 0x02C OTF_CFG3</t>
        </is>
      </c>
      <c r="AC8" s="106" t="inlineStr">
        <is>
          <t>ENC 0x050 META_ACTIVE_SIZE</t>
        </is>
      </c>
      <c r="AD8" s="106" t="inlineStr">
        <is>
          <t>ENC 0x054 META_PITCH</t>
        </is>
      </c>
      <c r="AE8" s="106" t="inlineStr">
        <is>
          <t>DEC 0x00C TILE_CFG1</t>
        </is>
      </c>
      <c r="AF8" s="106" t="inlineStr">
        <is>
          <t>DEC 0x018 OTF_CFG0</t>
        </is>
      </c>
      <c r="AG8" s="106" t="inlineStr">
        <is>
          <t>DEC 0x01C OTF_CFG1</t>
        </is>
      </c>
      <c r="AH8" s="106" t="inlineStr">
        <is>
          <t>DEC 0x020 OTF_CFG2</t>
        </is>
      </c>
      <c r="AI8" s="106" t="inlineStr">
        <is>
          <t>DEC 0x024 OTF_CFG3</t>
        </is>
      </c>
      <c r="AJ8" s="106" t="inlineStr">
        <is>
          <t>DEC 0x028 OTF_CFG4</t>
        </is>
      </c>
      <c r="AK8" s="106" t="inlineStr">
        <is>
          <t>DEC 0x02C META_CFG0</t>
        </is>
      </c>
      <c r="AL8" s="106" t="inlineStr">
        <is>
          <t>ENC固定0x008 TILE_CFG0</t>
        </is>
      </c>
      <c r="AM8" s="106" t="inlineStr">
        <is>
          <t>DEC固定0x008 TILE_CFG0</t>
        </is>
      </c>
      <c r="AN8" s="106" t="inlineStr">
        <is>
          <t>备注</t>
        </is>
      </c>
      <c r="AO8" s="107" t="inlineStr">
        <is>
          <t>单case sheet</t>
        </is>
      </c>
    </row>
    <row r="9">
      <c r="A9" s="100">
        <f>'大图验证-R7130'!A4</f>
        <v/>
      </c>
      <c r="B9" s="100">
        <f>'大图验证-R7130'!B4</f>
        <v/>
      </c>
      <c r="C9" s="100">
        <f>'大图验证-R7130'!C4</f>
        <v/>
      </c>
      <c r="D9" s="100">
        <f>'大图验证-R7130'!D4</f>
        <v/>
      </c>
      <c r="E9" s="98" t="inlineStr">
        <is>
          <t>YUV420_8/NV12</t>
        </is>
      </c>
      <c r="F9" s="100">
        <f>IF(E9="RGBA8888",0,IF(E9="RGBA1010102",1,IF(E9="YUV420_10/P010",3,2)))</f>
        <v/>
      </c>
      <c r="G9" s="100">
        <f>IF(LEFT(E9,4)="RGBA",16,32)</f>
        <v/>
      </c>
      <c r="H9" s="100">
        <f>IF(OR(E9="RGBA8888",E9="RGBA1010102",E9="YUV420_10/P010"),4,8)</f>
        <v/>
      </c>
      <c r="I9" s="100">
        <f>IF(LEFT(E9,4)="RGBA",4,IF(E9="YUV420_10/P010",2,1))</f>
        <v/>
      </c>
      <c r="J9" s="98" t="inlineStr">
        <is>
          <t>否</t>
        </is>
      </c>
      <c r="K9" s="100">
        <f>IF('大图验证-R7130'!AO4&lt;&gt;"",'大图验证-R7130'!AO4,IF('大图验证-R7130'!N4&lt;&gt;"",'大图验证-R7130'!N4,CEILING(C9,G9*4)))</f>
        <v/>
      </c>
      <c r="L9" s="100">
        <f>IF('大图验证-R7130'!AP4&lt;&gt;"",'大图验证-R7130'!AP4,IF('大图验证-R7130'!P4&lt;&gt;"",'大图验证-R7130'!P4,CEILING(D9,H9*4)))</f>
        <v/>
      </c>
      <c r="M9" s="100">
        <f>IF(J9="是",MAX(K9,CEILING(C9,G9*4)),C9)</f>
        <v/>
      </c>
      <c r="N9" s="100">
        <f>IF(J9="是",MAX(L9,CEILING(D9,H9*4)),D9)</f>
        <v/>
      </c>
      <c r="O9" s="100">
        <f>C9</f>
        <v/>
      </c>
      <c r="P9" s="100">
        <f>D9</f>
        <v/>
      </c>
      <c r="Q9" s="100">
        <f>MAX(CEILING(O9,G9*4),IF(K9="",0,K9))</f>
        <v/>
      </c>
      <c r="R9" s="100">
        <f>MAX(CEILING(P9,H9*4),IF(L9="",0,L9))</f>
        <v/>
      </c>
      <c r="S9" s="100">
        <f>Q9/G9</f>
        <v/>
      </c>
      <c r="T9" s="100">
        <f>R9/H9</f>
        <v/>
      </c>
      <c r="U9" s="100">
        <f>IF(LEFT(E9,4)="RGBA",0,S9)</f>
        <v/>
      </c>
      <c r="V9" s="100">
        <f>CEILING(S9,64)</f>
        <v/>
      </c>
      <c r="W9" s="100">
        <f>Q9*I9/16</f>
        <v/>
      </c>
      <c r="X9" s="101">
        <f>"0x"&amp;UPPER(RIGHT("00000000"&amp;DEC2HEX(W9*65536+IF(LEFT(E9,4)="RGBA",1,0)),8))</f>
        <v/>
      </c>
      <c r="Y9" s="101">
        <f>"0x"&amp;UPPER(RIGHT("00000000"&amp;DEC2HEX(F9),8))</f>
        <v/>
      </c>
      <c r="Z9" s="101">
        <f>"0x"&amp;UPPER(RIGHT("00000000"&amp;DEC2HEX(N9*65536+M9),8))</f>
        <v/>
      </c>
      <c r="AA9" s="101">
        <f>"0x"&amp;UPPER(RIGHT("00000000"&amp;DEC2HEX(H9*65536+G9),8))</f>
        <v/>
      </c>
      <c r="AB9" s="101">
        <f>"0x"&amp;UPPER(RIGHT("00000000"&amp;DEC2HEX(U9*65536+S9),8))</f>
        <v/>
      </c>
      <c r="AC9" s="101">
        <f>"0x"&amp;UPPER(RIGHT("00000000"&amp;DEC2HEX(P9*65536+O9),8))</f>
        <v/>
      </c>
      <c r="AD9" s="101">
        <f>"0x"&amp;UPPER(RIGHT("00000000"&amp;DEC2HEX(V9),8))</f>
        <v/>
      </c>
      <c r="AE9" s="101">
        <f>"0x"&amp;UPPER(RIGHT("00000000"&amp;DEC2HEX(W9),8))</f>
        <v/>
      </c>
      <c r="AF9" s="101">
        <f>"0x"&amp;UPPER(RIGHT("00000000"&amp;DEC2HEX(F9*65536+O9),8))</f>
        <v/>
      </c>
      <c r="AG9" s="101">
        <f>"0x"&amp;UPPER(RIGHT("00000000"&amp;DEC2HEX(O9),8))</f>
        <v/>
      </c>
      <c r="AH9" s="101">
        <f>"0x"&amp;UPPER(RIGHT("00000000"&amp;DEC2HEX(O9*65536),8))</f>
        <v/>
      </c>
      <c r="AI9" s="101">
        <f>"0x"&amp;UPPER(RIGHT("00000000"&amp;DEC2HEX(P9),8))</f>
        <v/>
      </c>
      <c r="AJ9" s="101">
        <f>"0x"&amp;UPPER(RIGHT("00000000"&amp;DEC2HEX(P9*65536),8))</f>
        <v/>
      </c>
      <c r="AK9" s="101">
        <f>"0x"&amp;UPPER(RIGHT("00000000"&amp;DEC2HEX(T9*65536+S9),8))</f>
        <v/>
      </c>
      <c r="AL9" s="101">
        <f>"0x"&amp;UPPER(RIGHT("00000000"&amp;DEC2HEX(1+4+8+16*256+65536),8))</f>
        <v/>
      </c>
      <c r="AM9" s="101">
        <f>"0x"&amp;UPPER(RIGHT("00000000"&amp;DEC2HEX(2+4+16*16+512+IF(LEFT(E9,4)="RGBA",1024,0)),8))</f>
        <v/>
      </c>
      <c r="AN9" s="100">
        <f>IF(J9="是","ENC OTF_CFG1 用 padding W/H；META_ACTIVE_SIZE 仍用原图 active W/H。DEC h_act/v_act 固定用原图 W/H。","ENC/DEC active 都用原图 W/H；stored/layout 只用于 tile/meta/pitch。")</f>
        <v/>
      </c>
      <c r="AO9" s="108" t="inlineStr">
        <is>
          <t>case01_1888x1624</t>
        </is>
      </c>
    </row>
    <row r="10">
      <c r="A10" s="100">
        <f>'大图验证-R7130'!A5</f>
        <v/>
      </c>
      <c r="B10" s="100">
        <f>'大图验证-R7130'!B5</f>
        <v/>
      </c>
      <c r="C10" s="100">
        <f>'大图验证-R7130'!C5</f>
        <v/>
      </c>
      <c r="D10" s="100">
        <f>'大图验证-R7130'!D5</f>
        <v/>
      </c>
      <c r="E10" s="98" t="inlineStr">
        <is>
          <t>YUV420_8/NV12</t>
        </is>
      </c>
      <c r="F10" s="100">
        <f>IF(E10="RGBA8888",0,IF(E10="RGBA1010102",1,IF(E10="YUV420_10/P010",3,2)))</f>
        <v/>
      </c>
      <c r="G10" s="100">
        <f>IF(LEFT(E10,4)="RGBA",16,32)</f>
        <v/>
      </c>
      <c r="H10" s="100">
        <f>IF(OR(E10="RGBA8888",E10="RGBA1010102",E10="YUV420_10/P010"),4,8)</f>
        <v/>
      </c>
      <c r="I10" s="100">
        <f>IF(LEFT(E10,4)="RGBA",4,IF(E10="YUV420_10/P010",2,1))</f>
        <v/>
      </c>
      <c r="J10" s="98" t="inlineStr">
        <is>
          <t>否</t>
        </is>
      </c>
      <c r="K10" s="100">
        <f>IF('大图验证-R7130'!AO5&lt;&gt;"",'大图验证-R7130'!AO5,IF('大图验证-R7130'!N5&lt;&gt;"",'大图验证-R7130'!N5,CEILING(C10,G10*4)))</f>
        <v/>
      </c>
      <c r="L10" s="100">
        <f>IF('大图验证-R7130'!AP5&lt;&gt;"",'大图验证-R7130'!AP5,IF('大图验证-R7130'!P5&lt;&gt;"",'大图验证-R7130'!P5,CEILING(D10,H10*4)))</f>
        <v/>
      </c>
      <c r="M10" s="100">
        <f>IF(J10="是",MAX(K10,CEILING(C10,G10*4)),C10)</f>
        <v/>
      </c>
      <c r="N10" s="100">
        <f>IF(J10="是",MAX(L10,CEILING(D10,H10*4)),D10)</f>
        <v/>
      </c>
      <c r="O10" s="100">
        <f>C10</f>
        <v/>
      </c>
      <c r="P10" s="100">
        <f>D10</f>
        <v/>
      </c>
      <c r="Q10" s="100">
        <f>MAX(CEILING(O10,G10*4),IF(K10="",0,K10))</f>
        <v/>
      </c>
      <c r="R10" s="100">
        <f>MAX(CEILING(P10,H10*4),IF(L10="",0,L10))</f>
        <v/>
      </c>
      <c r="S10" s="100">
        <f>Q10/G10</f>
        <v/>
      </c>
      <c r="T10" s="100">
        <f>R10/H10</f>
        <v/>
      </c>
      <c r="U10" s="100">
        <f>IF(LEFT(E10,4)="RGBA",0,S10)</f>
        <v/>
      </c>
      <c r="V10" s="100">
        <f>CEILING(S10,64)</f>
        <v/>
      </c>
      <c r="W10" s="100">
        <f>Q10*I10/16</f>
        <v/>
      </c>
      <c r="X10" s="101">
        <f>"0x"&amp;UPPER(RIGHT("00000000"&amp;DEC2HEX(W10*65536+IF(LEFT(E10,4)="RGBA",1,0)),8))</f>
        <v/>
      </c>
      <c r="Y10" s="101">
        <f>"0x"&amp;UPPER(RIGHT("00000000"&amp;DEC2HEX(F10),8))</f>
        <v/>
      </c>
      <c r="Z10" s="101">
        <f>"0x"&amp;UPPER(RIGHT("00000000"&amp;DEC2HEX(N10*65536+M10),8))</f>
        <v/>
      </c>
      <c r="AA10" s="101">
        <f>"0x"&amp;UPPER(RIGHT("00000000"&amp;DEC2HEX(H10*65536+G10),8))</f>
        <v/>
      </c>
      <c r="AB10" s="101">
        <f>"0x"&amp;UPPER(RIGHT("00000000"&amp;DEC2HEX(U10*65536+S10),8))</f>
        <v/>
      </c>
      <c r="AC10" s="101">
        <f>"0x"&amp;UPPER(RIGHT("00000000"&amp;DEC2HEX(P10*65536+O10),8))</f>
        <v/>
      </c>
      <c r="AD10" s="101">
        <f>"0x"&amp;UPPER(RIGHT("00000000"&amp;DEC2HEX(V10),8))</f>
        <v/>
      </c>
      <c r="AE10" s="101">
        <f>"0x"&amp;UPPER(RIGHT("00000000"&amp;DEC2HEX(W10),8))</f>
        <v/>
      </c>
      <c r="AF10" s="101">
        <f>"0x"&amp;UPPER(RIGHT("00000000"&amp;DEC2HEX(F10*65536+O10),8))</f>
        <v/>
      </c>
      <c r="AG10" s="101">
        <f>"0x"&amp;UPPER(RIGHT("00000000"&amp;DEC2HEX(O10),8))</f>
        <v/>
      </c>
      <c r="AH10" s="101">
        <f>"0x"&amp;UPPER(RIGHT("00000000"&amp;DEC2HEX(O10*65536),8))</f>
        <v/>
      </c>
      <c r="AI10" s="101">
        <f>"0x"&amp;UPPER(RIGHT("00000000"&amp;DEC2HEX(P10),8))</f>
        <v/>
      </c>
      <c r="AJ10" s="101">
        <f>"0x"&amp;UPPER(RIGHT("00000000"&amp;DEC2HEX(P10*65536),8))</f>
        <v/>
      </c>
      <c r="AK10" s="101">
        <f>"0x"&amp;UPPER(RIGHT("00000000"&amp;DEC2HEX(T10*65536+S10),8))</f>
        <v/>
      </c>
      <c r="AL10" s="101">
        <f>"0x"&amp;UPPER(RIGHT("00000000"&amp;DEC2HEX(1+4+8+16*256+65536),8))</f>
        <v/>
      </c>
      <c r="AM10" s="101">
        <f>"0x"&amp;UPPER(RIGHT("00000000"&amp;DEC2HEX(2+4+16*16+512+IF(LEFT(E10,4)="RGBA",1024,0)),8))</f>
        <v/>
      </c>
      <c r="AN10" s="100">
        <f>IF(J10="是","ENC OTF_CFG1 用 padding W/H；META_ACTIVE_SIZE 仍用原图 active W/H。DEC h_act/v_act 固定用原图 W/H。","ENC/DEC active 都用原图 W/H；stored/layout 只用于 tile/meta/pitch。")</f>
        <v/>
      </c>
      <c r="AO10" s="108" t="inlineStr">
        <is>
          <t>case02_720x1548</t>
        </is>
      </c>
    </row>
    <row r="11">
      <c r="A11" s="100">
        <f>'大图验证-R7130'!A6</f>
        <v/>
      </c>
      <c r="B11" s="100">
        <f>'大图验证-R7130'!B6</f>
        <v/>
      </c>
      <c r="C11" s="100">
        <f>'大图验证-R7130'!C6</f>
        <v/>
      </c>
      <c r="D11" s="100">
        <f>'大图验证-R7130'!D6</f>
        <v/>
      </c>
      <c r="E11" s="98" t="inlineStr">
        <is>
          <t>YUV420_8/NV12</t>
        </is>
      </c>
      <c r="F11" s="100">
        <f>IF(E11="RGBA8888",0,IF(E11="RGBA1010102",1,IF(E11="YUV420_10/P010",3,2)))</f>
        <v/>
      </c>
      <c r="G11" s="100">
        <f>IF(LEFT(E11,4)="RGBA",16,32)</f>
        <v/>
      </c>
      <c r="H11" s="100">
        <f>IF(OR(E11="RGBA8888",E11="RGBA1010102",E11="YUV420_10/P010"),4,8)</f>
        <v/>
      </c>
      <c r="I11" s="100">
        <f>IF(LEFT(E11,4)="RGBA",4,IF(E11="YUV420_10/P010",2,1))</f>
        <v/>
      </c>
      <c r="J11" s="98" t="inlineStr">
        <is>
          <t>否</t>
        </is>
      </c>
      <c r="K11" s="100">
        <f>IF('大图验证-R7130'!AO6&lt;&gt;"",'大图验证-R7130'!AO6,IF('大图验证-R7130'!N6&lt;&gt;"",'大图验证-R7130'!N6,CEILING(C11,G11*4)))</f>
        <v/>
      </c>
      <c r="L11" s="100">
        <f>IF('大图验证-R7130'!AP6&lt;&gt;"",'大图验证-R7130'!AP6,IF('大图验证-R7130'!P6&lt;&gt;"",'大图验证-R7130'!P6,CEILING(D11,H11*4)))</f>
        <v/>
      </c>
      <c r="M11" s="100">
        <f>IF(J11="是",MAX(K11,CEILING(C11,G11*4)),C11)</f>
        <v/>
      </c>
      <c r="N11" s="100">
        <f>IF(J11="是",MAX(L11,CEILING(D11,H11*4)),D11)</f>
        <v/>
      </c>
      <c r="O11" s="100">
        <f>C11</f>
        <v/>
      </c>
      <c r="P11" s="100">
        <f>D11</f>
        <v/>
      </c>
      <c r="Q11" s="100">
        <f>MAX(CEILING(O11,G11*4),IF(K11="",0,K11))</f>
        <v/>
      </c>
      <c r="R11" s="100">
        <f>MAX(CEILING(P11,H11*4),IF(L11="",0,L11))</f>
        <v/>
      </c>
      <c r="S11" s="100">
        <f>Q11/G11</f>
        <v/>
      </c>
      <c r="T11" s="100">
        <f>R11/H11</f>
        <v/>
      </c>
      <c r="U11" s="100">
        <f>IF(LEFT(E11,4)="RGBA",0,S11)</f>
        <v/>
      </c>
      <c r="V11" s="100">
        <f>CEILING(S11,64)</f>
        <v/>
      </c>
      <c r="W11" s="100">
        <f>Q11*I11/16</f>
        <v/>
      </c>
      <c r="X11" s="101">
        <f>"0x"&amp;UPPER(RIGHT("00000000"&amp;DEC2HEX(W11*65536+IF(LEFT(E11,4)="RGBA",1,0)),8))</f>
        <v/>
      </c>
      <c r="Y11" s="101">
        <f>"0x"&amp;UPPER(RIGHT("00000000"&amp;DEC2HEX(F11),8))</f>
        <v/>
      </c>
      <c r="Z11" s="101">
        <f>"0x"&amp;UPPER(RIGHT("00000000"&amp;DEC2HEX(N11*65536+M11),8))</f>
        <v/>
      </c>
      <c r="AA11" s="101">
        <f>"0x"&amp;UPPER(RIGHT("00000000"&amp;DEC2HEX(H11*65536+G11),8))</f>
        <v/>
      </c>
      <c r="AB11" s="101">
        <f>"0x"&amp;UPPER(RIGHT("00000000"&amp;DEC2HEX(U11*65536+S11),8))</f>
        <v/>
      </c>
      <c r="AC11" s="101">
        <f>"0x"&amp;UPPER(RIGHT("00000000"&amp;DEC2HEX(P11*65536+O11),8))</f>
        <v/>
      </c>
      <c r="AD11" s="101">
        <f>"0x"&amp;UPPER(RIGHT("00000000"&amp;DEC2HEX(V11),8))</f>
        <v/>
      </c>
      <c r="AE11" s="101">
        <f>"0x"&amp;UPPER(RIGHT("00000000"&amp;DEC2HEX(W11),8))</f>
        <v/>
      </c>
      <c r="AF11" s="101">
        <f>"0x"&amp;UPPER(RIGHT("00000000"&amp;DEC2HEX(F11*65536+O11),8))</f>
        <v/>
      </c>
      <c r="AG11" s="101">
        <f>"0x"&amp;UPPER(RIGHT("00000000"&amp;DEC2HEX(O11),8))</f>
        <v/>
      </c>
      <c r="AH11" s="101">
        <f>"0x"&amp;UPPER(RIGHT("00000000"&amp;DEC2HEX(O11*65536),8))</f>
        <v/>
      </c>
      <c r="AI11" s="101">
        <f>"0x"&amp;UPPER(RIGHT("00000000"&amp;DEC2HEX(P11),8))</f>
        <v/>
      </c>
      <c r="AJ11" s="101">
        <f>"0x"&amp;UPPER(RIGHT("00000000"&amp;DEC2HEX(P11*65536),8))</f>
        <v/>
      </c>
      <c r="AK11" s="101">
        <f>"0x"&amp;UPPER(RIGHT("00000000"&amp;DEC2HEX(T11*65536+S11),8))</f>
        <v/>
      </c>
      <c r="AL11" s="101">
        <f>"0x"&amp;UPPER(RIGHT("00000000"&amp;DEC2HEX(1+4+8+16*256+65536),8))</f>
        <v/>
      </c>
      <c r="AM11" s="101">
        <f>"0x"&amp;UPPER(RIGHT("00000000"&amp;DEC2HEX(2+4+16*16+512+IF(LEFT(E11,4)="RGBA",1024,0)),8))</f>
        <v/>
      </c>
      <c r="AN11" s="100">
        <f>IF(J11="是","ENC OTF_CFG1 用 padding W/H；META_ACTIVE_SIZE 仍用原图 active W/H。DEC h_act/v_act 固定用原图 W/H。","ENC/DEC active 都用原图 W/H；stored/layout 只用于 tile/meta/pitch。")</f>
        <v/>
      </c>
      <c r="AO11" s="108" t="inlineStr">
        <is>
          <t>case03_2080x1800</t>
        </is>
      </c>
    </row>
    <row r="12">
      <c r="A12" s="100">
        <f>'大图验证-R7130'!A7</f>
        <v/>
      </c>
      <c r="B12" s="100">
        <f>'大图验证-R7130'!B7</f>
        <v/>
      </c>
      <c r="C12" s="100">
        <f>'大图验证-R7130'!C7</f>
        <v/>
      </c>
      <c r="D12" s="100">
        <f>'大图验证-R7130'!D7</f>
        <v/>
      </c>
      <c r="E12" s="98" t="inlineStr">
        <is>
          <t>YUV420_8/NV12</t>
        </is>
      </c>
      <c r="F12" s="100">
        <f>IF(E12="RGBA8888",0,IF(E12="RGBA1010102",1,IF(E12="YUV420_10/P010",3,2)))</f>
        <v/>
      </c>
      <c r="G12" s="100">
        <f>IF(LEFT(E12,4)="RGBA",16,32)</f>
        <v/>
      </c>
      <c r="H12" s="100">
        <f>IF(OR(E12="RGBA8888",E12="RGBA1010102",E12="YUV420_10/P010"),4,8)</f>
        <v/>
      </c>
      <c r="I12" s="100">
        <f>IF(LEFT(E12,4)="RGBA",4,IF(E12="YUV420_10/P010",2,1))</f>
        <v/>
      </c>
      <c r="J12" s="98" t="inlineStr">
        <is>
          <t>否</t>
        </is>
      </c>
      <c r="K12" s="100">
        <f>IF('大图验证-R7130'!AO7&lt;&gt;"",'大图验证-R7130'!AO7,IF('大图验证-R7130'!N7&lt;&gt;"",'大图验证-R7130'!N7,CEILING(C12,G12*4)))</f>
        <v/>
      </c>
      <c r="L12" s="100">
        <f>IF('大图验证-R7130'!AP7&lt;&gt;"",'大图验证-R7130'!AP7,IF('大图验证-R7130'!P7&lt;&gt;"",'大图验证-R7130'!P7,CEILING(D12,H12*4)))</f>
        <v/>
      </c>
      <c r="M12" s="100">
        <f>IF(J12="是",MAX(K12,CEILING(C12,G12*4)),C12)</f>
        <v/>
      </c>
      <c r="N12" s="100">
        <f>IF(J12="是",MAX(L12,CEILING(D12,H12*4)),D12)</f>
        <v/>
      </c>
      <c r="O12" s="100">
        <f>C12</f>
        <v/>
      </c>
      <c r="P12" s="100">
        <f>D12</f>
        <v/>
      </c>
      <c r="Q12" s="100">
        <f>MAX(CEILING(O12,G12*4),IF(K12="",0,K12))</f>
        <v/>
      </c>
      <c r="R12" s="100">
        <f>MAX(CEILING(P12,H12*4),IF(L12="",0,L12))</f>
        <v/>
      </c>
      <c r="S12" s="100">
        <f>Q12/G12</f>
        <v/>
      </c>
      <c r="T12" s="100">
        <f>R12/H12</f>
        <v/>
      </c>
      <c r="U12" s="100">
        <f>IF(LEFT(E12,4)="RGBA",0,S12)</f>
        <v/>
      </c>
      <c r="V12" s="100">
        <f>CEILING(S12,64)</f>
        <v/>
      </c>
      <c r="W12" s="100">
        <f>Q12*I12/16</f>
        <v/>
      </c>
      <c r="X12" s="101">
        <f>"0x"&amp;UPPER(RIGHT("00000000"&amp;DEC2HEX(W12*65536+IF(LEFT(E12,4)="RGBA",1,0)),8))</f>
        <v/>
      </c>
      <c r="Y12" s="101">
        <f>"0x"&amp;UPPER(RIGHT("00000000"&amp;DEC2HEX(F12),8))</f>
        <v/>
      </c>
      <c r="Z12" s="101">
        <f>"0x"&amp;UPPER(RIGHT("00000000"&amp;DEC2HEX(N12*65536+M12),8))</f>
        <v/>
      </c>
      <c r="AA12" s="101">
        <f>"0x"&amp;UPPER(RIGHT("00000000"&amp;DEC2HEX(H12*65536+G12),8))</f>
        <v/>
      </c>
      <c r="AB12" s="101">
        <f>"0x"&amp;UPPER(RIGHT("00000000"&amp;DEC2HEX(U12*65536+S12),8))</f>
        <v/>
      </c>
      <c r="AC12" s="101">
        <f>"0x"&amp;UPPER(RIGHT("00000000"&amp;DEC2HEX(P12*65536+O12),8))</f>
        <v/>
      </c>
      <c r="AD12" s="101">
        <f>"0x"&amp;UPPER(RIGHT("00000000"&amp;DEC2HEX(V12),8))</f>
        <v/>
      </c>
      <c r="AE12" s="101">
        <f>"0x"&amp;UPPER(RIGHT("00000000"&amp;DEC2HEX(W12),8))</f>
        <v/>
      </c>
      <c r="AF12" s="101">
        <f>"0x"&amp;UPPER(RIGHT("00000000"&amp;DEC2HEX(F12*65536+O12),8))</f>
        <v/>
      </c>
      <c r="AG12" s="101">
        <f>"0x"&amp;UPPER(RIGHT("00000000"&amp;DEC2HEX(O12),8))</f>
        <v/>
      </c>
      <c r="AH12" s="101">
        <f>"0x"&amp;UPPER(RIGHT("00000000"&amp;DEC2HEX(O12*65536),8))</f>
        <v/>
      </c>
      <c r="AI12" s="101">
        <f>"0x"&amp;UPPER(RIGHT("00000000"&amp;DEC2HEX(P12),8))</f>
        <v/>
      </c>
      <c r="AJ12" s="101">
        <f>"0x"&amp;UPPER(RIGHT("00000000"&amp;DEC2HEX(P12*65536),8))</f>
        <v/>
      </c>
      <c r="AK12" s="101">
        <f>"0x"&amp;UPPER(RIGHT("00000000"&amp;DEC2HEX(T12*65536+S12),8))</f>
        <v/>
      </c>
      <c r="AL12" s="101">
        <f>"0x"&amp;UPPER(RIGHT("00000000"&amp;DEC2HEX(1+4+8+16*256+65536),8))</f>
        <v/>
      </c>
      <c r="AM12" s="101">
        <f>"0x"&amp;UPPER(RIGHT("00000000"&amp;DEC2HEX(2+4+16*16+512+IF(LEFT(E12,4)="RGBA",1024,0)),8))</f>
        <v/>
      </c>
      <c r="AN12" s="100">
        <f>IF(J12="是","ENC OTF_CFG1 用 padding W/H；META_ACTIVE_SIZE 仍用原图 active W/H。DEC h_act/v_act 固定用原图 W/H。","ENC/DEC active 都用原图 W/H；stored/layout 只用于 tile/meta/pitch。")</f>
        <v/>
      </c>
      <c r="AO12" s="108" t="inlineStr">
        <is>
          <t>case04_970x2134</t>
        </is>
      </c>
    </row>
    <row r="13">
      <c r="A13" s="100">
        <f>'大图验证-R7130'!A8</f>
        <v/>
      </c>
      <c r="B13" s="100">
        <f>'大图验证-R7130'!B8</f>
        <v/>
      </c>
      <c r="C13" s="100">
        <f>'大图验证-R7130'!C8</f>
        <v/>
      </c>
      <c r="D13" s="100">
        <f>'大图验证-R7130'!D8</f>
        <v/>
      </c>
      <c r="E13" s="98" t="inlineStr">
        <is>
          <t>YUV420_8/NV12</t>
        </is>
      </c>
      <c r="F13" s="100">
        <f>IF(E13="RGBA8888",0,IF(E13="RGBA1010102",1,IF(E13="YUV420_10/P010",3,2)))</f>
        <v/>
      </c>
      <c r="G13" s="100">
        <f>IF(LEFT(E13,4)="RGBA",16,32)</f>
        <v/>
      </c>
      <c r="H13" s="100">
        <f>IF(OR(E13="RGBA8888",E13="RGBA1010102",E13="YUV420_10/P010"),4,8)</f>
        <v/>
      </c>
      <c r="I13" s="100">
        <f>IF(LEFT(E13,4)="RGBA",4,IF(E13="YUV420_10/P010",2,1))</f>
        <v/>
      </c>
      <c r="J13" s="98" t="inlineStr">
        <is>
          <t>否</t>
        </is>
      </c>
      <c r="K13" s="100">
        <f>IF('大图验证-R7130'!AO8&lt;&gt;"",'大图验证-R7130'!AO8,IF('大图验证-R7130'!N8&lt;&gt;"",'大图验证-R7130'!N8,CEILING(C13,G13*4)))</f>
        <v/>
      </c>
      <c r="L13" s="100">
        <f>IF('大图验证-R7130'!AP8&lt;&gt;"",'大图验证-R7130'!AP8,IF('大图验证-R7130'!P8&lt;&gt;"",'大图验证-R7130'!P8,CEILING(D13,H13*4)))</f>
        <v/>
      </c>
      <c r="M13" s="100">
        <f>IF(J13="是",MAX(K13,CEILING(C13,G13*4)),C13)</f>
        <v/>
      </c>
      <c r="N13" s="100">
        <f>IF(J13="是",MAX(L13,CEILING(D13,H13*4)),D13)</f>
        <v/>
      </c>
      <c r="O13" s="100">
        <f>C13</f>
        <v/>
      </c>
      <c r="P13" s="100">
        <f>D13</f>
        <v/>
      </c>
      <c r="Q13" s="100">
        <f>MAX(CEILING(O13,G13*4),IF(K13="",0,K13))</f>
        <v/>
      </c>
      <c r="R13" s="100">
        <f>MAX(CEILING(P13,H13*4),IF(L13="",0,L13))</f>
        <v/>
      </c>
      <c r="S13" s="100">
        <f>Q13/G13</f>
        <v/>
      </c>
      <c r="T13" s="100">
        <f>R13/H13</f>
        <v/>
      </c>
      <c r="U13" s="100">
        <f>IF(LEFT(E13,4)="RGBA",0,S13)</f>
        <v/>
      </c>
      <c r="V13" s="100">
        <f>CEILING(S13,64)</f>
        <v/>
      </c>
      <c r="W13" s="100">
        <f>Q13*I13/16</f>
        <v/>
      </c>
      <c r="X13" s="101">
        <f>"0x"&amp;UPPER(RIGHT("00000000"&amp;DEC2HEX(W13*65536+IF(LEFT(E13,4)="RGBA",1,0)),8))</f>
        <v/>
      </c>
      <c r="Y13" s="101">
        <f>"0x"&amp;UPPER(RIGHT("00000000"&amp;DEC2HEX(F13),8))</f>
        <v/>
      </c>
      <c r="Z13" s="101">
        <f>"0x"&amp;UPPER(RIGHT("00000000"&amp;DEC2HEX(N13*65536+M13),8))</f>
        <v/>
      </c>
      <c r="AA13" s="101">
        <f>"0x"&amp;UPPER(RIGHT("00000000"&amp;DEC2HEX(H13*65536+G13),8))</f>
        <v/>
      </c>
      <c r="AB13" s="101">
        <f>"0x"&amp;UPPER(RIGHT("00000000"&amp;DEC2HEX(U13*65536+S13),8))</f>
        <v/>
      </c>
      <c r="AC13" s="101">
        <f>"0x"&amp;UPPER(RIGHT("00000000"&amp;DEC2HEX(P13*65536+O13),8))</f>
        <v/>
      </c>
      <c r="AD13" s="101">
        <f>"0x"&amp;UPPER(RIGHT("00000000"&amp;DEC2HEX(V13),8))</f>
        <v/>
      </c>
      <c r="AE13" s="101">
        <f>"0x"&amp;UPPER(RIGHT("00000000"&amp;DEC2HEX(W13),8))</f>
        <v/>
      </c>
      <c r="AF13" s="101">
        <f>"0x"&amp;UPPER(RIGHT("00000000"&amp;DEC2HEX(F13*65536+O13),8))</f>
        <v/>
      </c>
      <c r="AG13" s="101">
        <f>"0x"&amp;UPPER(RIGHT("00000000"&amp;DEC2HEX(O13),8))</f>
        <v/>
      </c>
      <c r="AH13" s="101">
        <f>"0x"&amp;UPPER(RIGHT("00000000"&amp;DEC2HEX(O13*65536),8))</f>
        <v/>
      </c>
      <c r="AI13" s="101">
        <f>"0x"&amp;UPPER(RIGHT("00000000"&amp;DEC2HEX(P13),8))</f>
        <v/>
      </c>
      <c r="AJ13" s="101">
        <f>"0x"&amp;UPPER(RIGHT("00000000"&amp;DEC2HEX(P13*65536),8))</f>
        <v/>
      </c>
      <c r="AK13" s="101">
        <f>"0x"&amp;UPPER(RIGHT("00000000"&amp;DEC2HEX(T13*65536+S13),8))</f>
        <v/>
      </c>
      <c r="AL13" s="101">
        <f>"0x"&amp;UPPER(RIGHT("00000000"&amp;DEC2HEX(1+4+8+16*256+65536),8))</f>
        <v/>
      </c>
      <c r="AM13" s="101">
        <f>"0x"&amp;UPPER(RIGHT("00000000"&amp;DEC2HEX(2+4+16*16+512+IF(LEFT(E13,4)="RGBA",1024,0)),8))</f>
        <v/>
      </c>
      <c r="AN13" s="100">
        <f>IF(J13="是","ENC OTF_CFG1 用 padding W/H；META_ACTIVE_SIZE 仍用原图 active W/H。DEC h_act/v_act 固定用原图 W/H。","ENC/DEC active 都用原图 W/H；stored/layout 只用于 tile/meta/pitch。")</f>
        <v/>
      </c>
      <c r="AO13" s="108" t="inlineStr">
        <is>
          <t>case05_970x2134</t>
        </is>
      </c>
    </row>
    <row r="16">
      <c r="A16" s="102" t="inlineStr">
        <is>
          <t>每帧地址寄存器写入顺序</t>
        </is>
      </c>
    </row>
    <row r="17">
      <c r="A17" s="103" t="inlineStr">
        <is>
          <t>模块</t>
        </is>
      </c>
      <c r="B17" s="103" t="inlineStr">
        <is>
          <t>寄存器地址</t>
        </is>
      </c>
      <c r="C17" s="103" t="inlineStr">
        <is>
          <t>寄存器名</t>
        </is>
      </c>
      <c r="D17" s="103" t="inlineStr">
        <is>
          <t>说明</t>
        </is>
      </c>
    </row>
    <row r="18">
      <c r="A18" s="100" t="inlineStr">
        <is>
          <t>ENC</t>
        </is>
      </c>
      <c r="B18" s="100" t="inlineStr">
        <is>
          <t>0x030/0x034</t>
        </is>
      </c>
      <c r="C18" s="100" t="inlineStr">
        <is>
          <t>REG_META_BASE_Y_LO/HI</t>
        </is>
      </c>
      <c r="D18" s="100" t="inlineStr">
        <is>
          <t>Y/RGBA metadata base low/high</t>
        </is>
      </c>
    </row>
    <row r="19">
      <c r="A19" s="100" t="inlineStr">
        <is>
          <t>ENC</t>
        </is>
      </c>
      <c r="B19" s="100" t="inlineStr">
        <is>
          <t>0x038/0x03C</t>
        </is>
      </c>
      <c r="C19" s="100" t="inlineStr">
        <is>
          <t>REG_TILE_BASE_Y_LO/HI</t>
        </is>
      </c>
      <c r="D19" s="100" t="inlineStr">
        <is>
          <t>Y/RGBA tile data base low/high</t>
        </is>
      </c>
    </row>
    <row r="20">
      <c r="A20" s="100" t="inlineStr">
        <is>
          <t>ENC</t>
        </is>
      </c>
      <c r="B20" s="100" t="inlineStr">
        <is>
          <t>0x040/0x044</t>
        </is>
      </c>
      <c r="C20" s="100" t="inlineStr">
        <is>
          <t>REG_META_BASE_UV_LO/HI</t>
        </is>
      </c>
      <c r="D20" s="100" t="inlineStr">
        <is>
          <t>UV metadata base low/high；RGBA 写 0</t>
        </is>
      </c>
    </row>
    <row r="21">
      <c r="A21" s="100" t="inlineStr">
        <is>
          <t>ENC</t>
        </is>
      </c>
      <c r="B21" s="100" t="inlineStr">
        <is>
          <t>0x048/0x04C</t>
        </is>
      </c>
      <c r="C21" s="100" t="inlineStr">
        <is>
          <t>REG_TILE_BASE_UV_LO/HI</t>
        </is>
      </c>
      <c r="D21" s="100" t="inlineStr">
        <is>
          <t>UV tile data base low/high；写 0x04C 后提交地址组</t>
        </is>
      </c>
    </row>
    <row r="22">
      <c r="A22" s="100" t="inlineStr">
        <is>
          <t>ENC</t>
        </is>
      </c>
      <c r="B22" s="100" t="inlineStr">
        <is>
          <t>0x060 bit5</t>
        </is>
      </c>
      <c r="C22" s="100" t="inlineStr">
        <is>
          <t>START</t>
        </is>
      </c>
      <c r="D22" s="100" t="inlineStr">
        <is>
          <t>地址组写完后每帧写 start token</t>
        </is>
      </c>
    </row>
    <row r="23">
      <c r="A23" s="100" t="inlineStr">
        <is>
          <t>DEC</t>
        </is>
      </c>
      <c r="B23" s="100" t="inlineStr">
        <is>
          <t>0x030/0x034</t>
        </is>
      </c>
      <c r="C23" s="100" t="inlineStr">
        <is>
          <t>REG_META_BASE_Y_LO/HI</t>
        </is>
      </c>
      <c r="D23" s="100" t="inlineStr">
        <is>
          <t>RGBA/Y metadata base low/high</t>
        </is>
      </c>
    </row>
    <row r="24">
      <c r="A24" s="100" t="inlineStr">
        <is>
          <t>DEC</t>
        </is>
      </c>
      <c r="B24" s="100" t="inlineStr">
        <is>
          <t>0x038/0x03C</t>
        </is>
      </c>
      <c r="C24" s="100" t="inlineStr">
        <is>
          <t>REG_TILE_BASE_Y_LO/HI</t>
        </is>
      </c>
      <c r="D24" s="100" t="inlineStr">
        <is>
          <t>RGBA/Y tile data base low/high</t>
        </is>
      </c>
    </row>
    <row r="25">
      <c r="A25" s="100" t="inlineStr">
        <is>
          <t>DEC</t>
        </is>
      </c>
      <c r="B25" s="100" t="inlineStr">
        <is>
          <t>0x040/0x044</t>
        </is>
      </c>
      <c r="C25" s="100" t="inlineStr">
        <is>
          <t>REG_META_BASE_UV_LO/HI</t>
        </is>
      </c>
      <c r="D25" s="100" t="inlineStr">
        <is>
          <t>UV metadata base low/high；RGBA 不使用</t>
        </is>
      </c>
    </row>
    <row r="26">
      <c r="A26" s="100" t="inlineStr">
        <is>
          <t>DEC</t>
        </is>
      </c>
      <c r="B26" s="100" t="inlineStr">
        <is>
          <t>0x048/0x04C</t>
        </is>
      </c>
      <c r="C26" s="100" t="inlineStr">
        <is>
          <t>REG_TILE_BASE_UV_LO/HI</t>
        </is>
      </c>
      <c r="D26" s="100" t="inlineStr">
        <is>
          <t>UV tile data base low/high；RGBA 不使用</t>
        </is>
      </c>
    </row>
    <row r="27">
      <c r="A27" s="100" t="inlineStr">
        <is>
          <t>DEC</t>
        </is>
      </c>
      <c r="B27" s="100" t="inlineStr">
        <is>
          <t>0x060 bit5</t>
        </is>
      </c>
      <c r="C27" s="100" t="inlineStr">
        <is>
          <t>START</t>
        </is>
      </c>
      <c r="D27" s="100" t="inlineStr">
        <is>
          <t>完整地址组和 start token 都有效后启动 decode</t>
        </is>
      </c>
    </row>
  </sheetData>
  <autoFilter ref="A8:AN13"/>
  <mergeCells count="7">
    <mergeCell ref="B4:AN4"/>
    <mergeCell ref="A16:H16"/>
    <mergeCell ref="B6:AN6"/>
    <mergeCell ref="B2:AN2"/>
    <mergeCell ref="A1:AN1"/>
    <mergeCell ref="B3:AN3"/>
    <mergeCell ref="B5:AN5"/>
  </mergeCells>
  <dataValidations count="2">
    <dataValidation sqref="E9 E10 E11 E12 E13" showDropDown="0" showInputMessage="0" showErrorMessage="0" allowBlank="0" type="list">
      <formula1>"YUV420_8/NV12,YUV420_10/P010,RGBA8888,RGBA1010102"</formula1>
    </dataValidation>
    <dataValidation sqref="J9 J10 J11 J12 J13" showDropDown="0" showInputMessage="0" showErrorMessage="0" allowBlank="0" type="list">
      <formula1>"否,是"</formula1>
    </dataValidation>
  </dataValidations>
  <hyperlinks>
    <hyperlink xmlns:r="http://schemas.openxmlformats.org/officeDocument/2006/relationships" ref="AO9" r:id="rId1"/>
    <hyperlink xmlns:r="http://schemas.openxmlformats.org/officeDocument/2006/relationships" ref="AO10" r:id="rId2"/>
    <hyperlink xmlns:r="http://schemas.openxmlformats.org/officeDocument/2006/relationships" ref="AO11" r:id="rId3"/>
    <hyperlink xmlns:r="http://schemas.openxmlformats.org/officeDocument/2006/relationships" ref="AO12" r:id="rId4"/>
    <hyperlink xmlns:r="http://schemas.openxmlformats.org/officeDocument/2006/relationships" ref="AO13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73" min="1" max="1"/>
    <col width="18" customWidth="1" style="73" min="2" max="2"/>
    <col width="18" customWidth="1" style="73" min="3" max="3"/>
    <col width="20" customWidth="1" style="73" min="4" max="4"/>
    <col width="44" customWidth="1" style="73" min="5" max="5"/>
    <col width="56" customWidth="1" style="73" min="6" max="6"/>
  </cols>
  <sheetData>
    <row r="1" ht="28" customHeight="1" s="73">
      <c r="A1" s="109" t="inlineStr">
        <is>
          <t>UBWC case01 寄存器配置</t>
        </is>
      </c>
      <c r="B1" s="109" t="n"/>
      <c r="C1" s="109" t="n"/>
      <c r="D1" s="109" t="n"/>
      <c r="E1" s="109" t="n"/>
      <c r="F1" s="109" t="n"/>
    </row>
    <row r="2" ht="34" customHeight="1" s="73">
      <c r="A2" s="110" t="inlineStr">
        <is>
          <t>说明</t>
        </is>
      </c>
      <c r="B2" s="110" t="inlineStr">
        <is>
          <t>本页所有关键值引用总览页；如需改格式或是否使用 padding，请优先修改总览页对应行。Excel 打开后会自动重算公式。</t>
        </is>
      </c>
      <c r="C2" s="110" t="n"/>
      <c r="D2" s="110" t="n"/>
      <c r="E2" s="110" t="n"/>
      <c r="F2" s="110" t="n"/>
    </row>
    <row r="3">
      <c r="A3" s="111" t="inlineStr">
        <is>
          <t>返回总览</t>
        </is>
      </c>
      <c r="B3" s="111" t="inlineStr">
        <is>
          <t>UBWC寄存器配置</t>
        </is>
      </c>
      <c r="C3" s="111" t="n"/>
      <c r="D3" s="111" t="n"/>
      <c r="E3" s="111" t="n"/>
      <c r="F3" s="111" t="n"/>
    </row>
    <row r="4"/>
    <row r="5" ht="22" customHeight="1" s="73">
      <c r="A5" s="112" t="inlineStr">
        <is>
          <t>1. 输入参数与派生尺寸</t>
        </is>
      </c>
      <c r="B5" s="112" t="n"/>
      <c r="C5" s="112" t="n"/>
      <c r="D5" s="112" t="n"/>
      <c r="E5" s="112" t="n"/>
      <c r="F5" s="112" t="n"/>
    </row>
    <row r="6">
      <c r="A6" s="107" t="inlineStr">
        <is>
          <t>字段</t>
        </is>
      </c>
      <c r="B6" s="107" t="inlineStr">
        <is>
          <t>值</t>
        </is>
      </c>
      <c r="C6" s="107" t="inlineStr">
        <is>
          <t>说明</t>
        </is>
      </c>
    </row>
    <row r="7">
      <c r="A7" s="111" t="inlineStr">
        <is>
          <t>Case ID</t>
        </is>
      </c>
      <c r="B7" s="113">
        <f>'UBWC寄存器配置'!A9</f>
        <v/>
      </c>
      <c r="C7" s="111" t="inlineStr">
        <is>
          <t>原始 case 编号</t>
        </is>
      </c>
    </row>
    <row r="8">
      <c r="A8" s="111" t="inlineStr">
        <is>
          <t>Use case</t>
        </is>
      </c>
      <c r="B8" s="113">
        <f>'UBWC寄存器配置'!B9</f>
        <v/>
      </c>
      <c r="C8" s="111" t="inlineStr">
        <is>
          <t>原表用途</t>
        </is>
      </c>
    </row>
    <row r="9">
      <c r="A9" s="111" t="inlineStr">
        <is>
          <t>格式</t>
        </is>
      </c>
      <c r="B9" s="113">
        <f>'UBWC寄存器配置'!E9</f>
        <v/>
      </c>
      <c r="C9" s="111" t="inlineStr">
        <is>
          <t>当前配置格式；总览页可下拉修改</t>
        </is>
      </c>
    </row>
    <row r="10">
      <c r="A10" s="111" t="inlineStr">
        <is>
          <t>format_code</t>
        </is>
      </c>
      <c r="B10" s="113">
        <f>'UBWC寄存器配置'!F9</f>
        <v/>
      </c>
      <c r="C10" s="111" t="inlineStr">
        <is>
          <t>写入 OTF/format 字段的格式码</t>
        </is>
      </c>
    </row>
    <row r="11">
      <c r="A11" s="111" t="inlineStr">
        <is>
          <t>原图 W/H</t>
        </is>
      </c>
      <c r="B11" s="113">
        <f>'UBWC寄存器配置'!C9&amp;" x "&amp;'UBWC寄存器配置'!D9</f>
        <v/>
      </c>
      <c r="C11" s="111" t="inlineStr">
        <is>
          <t>真实有效图像尺寸</t>
        </is>
      </c>
    </row>
    <row r="12">
      <c r="A12" s="111" t="inlineStr">
        <is>
          <t>active W/H</t>
        </is>
      </c>
      <c r="B12" s="113">
        <f>'UBWC寄存器配置'!O9&amp;" x "&amp;'UBWC寄存器配置'!P9</f>
        <v/>
      </c>
      <c r="C12" s="111" t="inlineStr">
        <is>
          <t>ENC META_ACTIVE_SIZE / DEC OTF active 使用</t>
        </is>
      </c>
    </row>
    <row r="13">
      <c r="A13" s="111" t="inlineStr">
        <is>
          <t>stored W/H</t>
        </is>
      </c>
      <c r="B13" s="113">
        <f>'UBWC寄存器配置'!Q9&amp;" x "&amp;'UBWC寄存器配置'!R9</f>
        <v/>
      </c>
      <c r="C13" s="111" t="inlineStr">
        <is>
          <t>UBWC layout/tile/meta 使用的对齐后尺寸</t>
        </is>
      </c>
    </row>
    <row r="14">
      <c r="A14" s="111" t="inlineStr">
        <is>
          <t>ENC OTF W/H</t>
        </is>
      </c>
      <c r="B14" s="113">
        <f>'UBWC寄存器配置'!M9&amp;" x "&amp;'UBWC寄存器配置'!N9</f>
        <v/>
      </c>
      <c r="C14" s="111" t="inlineStr">
        <is>
          <t>ENC 输入流尺寸；默认不使用 padding</t>
        </is>
      </c>
    </row>
    <row r="15">
      <c r="A15" s="111" t="inlineStr">
        <is>
          <t>tile W/H</t>
        </is>
      </c>
      <c r="B15" s="113">
        <f>'UBWC寄存器配置'!G9&amp;" x "&amp;'UBWC寄存器配置'!H9</f>
        <v/>
      </c>
      <c r="C15" s="111" t="inlineStr">
        <is>
          <t>由格式决定</t>
        </is>
      </c>
    </row>
    <row r="16">
      <c r="A16" s="111" t="inlineStr">
        <is>
          <t>Y tile cols/rows</t>
        </is>
      </c>
      <c r="B16" s="113">
        <f>'UBWC寄存器配置'!S9&amp;" x "&amp;'UBWC寄存器配置'!T9</f>
        <v/>
      </c>
      <c r="C16" s="111" t="inlineStr">
        <is>
          <t>Y/RGBA plane tile 数</t>
        </is>
      </c>
    </row>
    <row r="17">
      <c r="A17" s="111" t="inlineStr">
        <is>
          <t>UV tile cols</t>
        </is>
      </c>
      <c r="B17" s="113">
        <f>'UBWC寄存器配置'!U9</f>
        <v/>
      </c>
      <c r="C17" s="111" t="inlineStr">
        <is>
          <t>RGBA 为 0；YUV420 与 Y tile cols 相同</t>
        </is>
      </c>
    </row>
    <row r="18">
      <c r="A18" s="111" t="inlineStr">
        <is>
          <t>meta pitch</t>
        </is>
      </c>
      <c r="B18" s="113">
        <f>'UBWC寄存器配置'!V9</f>
        <v/>
      </c>
      <c r="C18" s="111" t="inlineStr">
        <is>
          <t>metadata pitch，按 64B 对齐</t>
        </is>
      </c>
    </row>
    <row r="19">
      <c r="A19" s="111" t="inlineStr">
        <is>
          <t>tile pitch</t>
        </is>
      </c>
      <c r="B19" s="113">
        <f>'UBWC寄存器配置'!W9</f>
        <v/>
      </c>
      <c r="C19" s="111" t="inlineStr">
        <is>
          <t>压缩 tile plane pitch 配置值</t>
        </is>
      </c>
    </row>
    <row r="20"/>
    <row r="21" ht="22" customHeight="1" s="73">
      <c r="A21" s="112" t="inlineStr">
        <is>
          <t>2. ENC 静态寄存器配置</t>
        </is>
      </c>
      <c r="B21" s="112" t="n"/>
      <c r="C21" s="112" t="n"/>
      <c r="D21" s="112" t="n"/>
      <c r="E21" s="112" t="n"/>
      <c r="F21" s="112" t="n"/>
    </row>
    <row r="22">
      <c r="A22" s="107" t="inlineStr">
        <is>
          <t>步骤</t>
        </is>
      </c>
      <c r="B22" s="107" t="inlineStr">
        <is>
          <t>地址</t>
        </is>
      </c>
      <c r="C22" s="107" t="inlineStr">
        <is>
          <t>寄存器</t>
        </is>
      </c>
      <c r="D22" s="107" t="inlineStr">
        <is>
          <t>写入值</t>
        </is>
      </c>
      <c r="E22" s="107" t="inlineStr">
        <is>
          <t>配置频率</t>
        </is>
      </c>
      <c r="F22" s="107" t="inlineStr">
        <is>
          <t>说明</t>
        </is>
      </c>
    </row>
    <row r="23">
      <c r="A23" s="111" t="inlineStr">
        <is>
          <t>1</t>
        </is>
      </c>
      <c r="B23" s="113" t="inlineStr">
        <is>
          <t>0x008</t>
        </is>
      </c>
      <c r="C23" s="111" t="inlineStr">
        <is>
          <t>REG_TILE_CFG0</t>
        </is>
      </c>
      <c r="D23" s="113">
        <f>'UBWC寄存器配置'!AL9</f>
        <v/>
      </c>
      <c r="E23" s="114" t="inlineStr">
        <is>
          <t>图像格式变化时配置</t>
        </is>
      </c>
      <c r="F23" s="114" t="inlineStr">
        <is>
          <t>bank swizzle/bank spread 等固定建议配置</t>
        </is>
      </c>
    </row>
    <row r="24">
      <c r="A24" s="111" t="inlineStr">
        <is>
          <t>2</t>
        </is>
      </c>
      <c r="B24" s="113" t="inlineStr">
        <is>
          <t>0x00C</t>
        </is>
      </c>
      <c r="C24" s="111" t="inlineStr">
        <is>
          <t>REG_TILE_CFG1</t>
        </is>
      </c>
      <c r="D24" s="113">
        <f>'UBWC寄存器配置'!X9</f>
        <v/>
      </c>
      <c r="E24" s="114" t="inlineStr">
        <is>
          <t>图像格式/尺寸变化时配置</t>
        </is>
      </c>
      <c r="F24" s="114" t="inlineStr">
        <is>
          <t>tile_pitch 和 RGBA/YUV plane 类型相关配置</t>
        </is>
      </c>
    </row>
    <row r="25">
      <c r="A25" s="111" t="inlineStr">
        <is>
          <t>3</t>
        </is>
      </c>
      <c r="B25" s="113" t="inlineStr">
        <is>
          <t>0x010</t>
        </is>
      </c>
      <c r="C25" s="111" t="inlineStr">
        <is>
          <t>REG_ENC_CI_CFG0</t>
        </is>
      </c>
      <c r="D25" s="113" t="inlineStr">
        <is>
          <t>0x00000701</t>
        </is>
      </c>
      <c r="E25" s="114" t="inlineStr">
        <is>
          <t>图像格式变化时配置</t>
        </is>
      </c>
      <c r="F25" s="114" t="inlineStr">
        <is>
          <t>CI input type=1(tiled data)，CI alen 默认 7</t>
        </is>
      </c>
    </row>
    <row r="26">
      <c r="A26" s="111" t="inlineStr">
        <is>
          <t>4</t>
        </is>
      </c>
      <c r="B26" s="113" t="inlineStr">
        <is>
          <t>0x020</t>
        </is>
      </c>
      <c r="C26" s="111" t="inlineStr">
        <is>
          <t>REG_OTF_CFG0</t>
        </is>
      </c>
      <c r="D26" s="113">
        <f>'UBWC寄存器配置'!Y9</f>
        <v/>
      </c>
      <c r="E26" s="114" t="inlineStr">
        <is>
          <t>图像格式变化时配置</t>
        </is>
      </c>
      <c r="F26" s="114" t="inlineStr">
        <is>
          <t>ENC OTF 输入 format</t>
        </is>
      </c>
    </row>
    <row r="27">
      <c r="A27" s="111" t="inlineStr">
        <is>
          <t>5</t>
        </is>
      </c>
      <c r="B27" s="113" t="inlineStr">
        <is>
          <t>0x024</t>
        </is>
      </c>
      <c r="C27" s="111" t="inlineStr">
        <is>
          <t>REG_OTF_CFG1</t>
        </is>
      </c>
      <c r="D27" s="113">
        <f>'UBWC寄存器配置'!Z9</f>
        <v/>
      </c>
      <c r="E27" s="114" t="inlineStr">
        <is>
          <t>图像尺寸变化时配置</t>
        </is>
      </c>
      <c r="F27" s="114" t="inlineStr">
        <is>
          <t>ENC OTF 输入 width/height；若总览选择 padding，则这里用 padding W/H</t>
        </is>
      </c>
    </row>
    <row r="28">
      <c r="A28" s="111" t="inlineStr">
        <is>
          <t>6</t>
        </is>
      </c>
      <c r="B28" s="113" t="inlineStr">
        <is>
          <t>0x028</t>
        </is>
      </c>
      <c r="C28" s="111" t="inlineStr">
        <is>
          <t>REG_OTF_CFG2</t>
        </is>
      </c>
      <c r="D28" s="113">
        <f>'UBWC寄存器配置'!AA9</f>
        <v/>
      </c>
      <c r="E28" s="114" t="inlineStr">
        <is>
          <t>图像格式变化时配置</t>
        </is>
      </c>
      <c r="F28" s="114" t="inlineStr">
        <is>
          <t>tile_w/tile_h</t>
        </is>
      </c>
    </row>
    <row r="29">
      <c r="A29" s="111" t="inlineStr">
        <is>
          <t>7</t>
        </is>
      </c>
      <c r="B29" s="113" t="inlineStr">
        <is>
          <t>0x02C</t>
        </is>
      </c>
      <c r="C29" s="111" t="inlineStr">
        <is>
          <t>REG_OTF_CFG3</t>
        </is>
      </c>
      <c r="D29" s="113">
        <f>'UBWC寄存器配置'!AB9</f>
        <v/>
      </c>
      <c r="E29" s="114" t="inlineStr">
        <is>
          <t>图像尺寸变化时配置</t>
        </is>
      </c>
      <c r="F29" s="114" t="inlineStr">
        <is>
          <t>Y/UV tile cols；RGBA 的 UV 侧为 0</t>
        </is>
      </c>
    </row>
    <row r="30">
      <c r="A30" s="111" t="inlineStr">
        <is>
          <t>8</t>
        </is>
      </c>
      <c r="B30" s="113" t="inlineStr">
        <is>
          <t>0x050</t>
        </is>
      </c>
      <c r="C30" s="111" t="inlineStr">
        <is>
          <t>REG_META_ACTIVE_SIZE</t>
        </is>
      </c>
      <c r="D30" s="113">
        <f>'UBWC寄存器配置'!AC9</f>
        <v/>
      </c>
      <c r="E30" s="114" t="inlineStr">
        <is>
          <t>图像有效尺寸变化时配置</t>
        </is>
      </c>
      <c r="F30" s="114" t="inlineStr">
        <is>
          <t>真实 active W/H，不使用 padding W/H</t>
        </is>
      </c>
    </row>
    <row r="31">
      <c r="A31" s="111" t="inlineStr">
        <is>
          <t>9</t>
        </is>
      </c>
      <c r="B31" s="113" t="inlineStr">
        <is>
          <t>0x054</t>
        </is>
      </c>
      <c r="C31" s="111" t="inlineStr">
        <is>
          <t>REG_META_PITCH</t>
        </is>
      </c>
      <c r="D31" s="113">
        <f>'UBWC寄存器配置'!AD9</f>
        <v/>
      </c>
      <c r="E31" s="114" t="inlineStr">
        <is>
          <t>图像尺寸变化时配置</t>
        </is>
      </c>
      <c r="F31" s="114" t="inlineStr">
        <is>
          <t>metadata plane pitch</t>
        </is>
      </c>
    </row>
    <row r="32">
      <c r="A32" s="111" t="inlineStr">
        <is>
          <t>10</t>
        </is>
      </c>
      <c r="B32" s="113" t="inlineStr">
        <is>
          <t>0x060</t>
        </is>
      </c>
      <c r="C32" s="111" t="inlineStr">
        <is>
          <t>REG_IRQ_CTRL</t>
        </is>
      </c>
      <c r="D32" s="113" t="inlineStr">
        <is>
          <t>0x00000001</t>
        </is>
      </c>
      <c r="E32" s="114" t="inlineStr">
        <is>
          <t>上电后或中断策略变化时配置</t>
        </is>
      </c>
      <c r="F32" s="114" t="inlineStr">
        <is>
          <t>bit0 irq_enable=1；bit6 可按需配置 vsync reset enable</t>
        </is>
      </c>
    </row>
    <row r="33"/>
    <row r="34" ht="22" customHeight="1" s="73">
      <c r="A34" s="112" t="inlineStr">
        <is>
          <t>3. ENC 每帧地址与启动</t>
        </is>
      </c>
      <c r="B34" s="112" t="n"/>
      <c r="C34" s="112" t="n"/>
      <c r="D34" s="112" t="n"/>
      <c r="E34" s="112" t="n"/>
      <c r="F34" s="112" t="n"/>
    </row>
    <row r="35">
      <c r="A35" s="115" t="inlineStr">
        <is>
          <t>步骤</t>
        </is>
      </c>
      <c r="B35" s="115" t="inlineStr">
        <is>
          <t>地址</t>
        </is>
      </c>
      <c r="C35" s="115" t="inlineStr">
        <is>
          <t>寄存器/字段</t>
        </is>
      </c>
      <c r="D35" s="115" t="inlineStr">
        <is>
          <t>写入值</t>
        </is>
      </c>
      <c r="E35" s="115" t="inlineStr">
        <is>
          <t>配置频率</t>
        </is>
      </c>
      <c r="F35" s="115" t="inlineStr">
        <is>
          <t>说明</t>
        </is>
      </c>
    </row>
    <row r="36">
      <c r="A36" s="111" t="inlineStr">
        <is>
          <t>1</t>
        </is>
      </c>
      <c r="B36" s="113" t="inlineStr">
        <is>
          <t>0x030</t>
        </is>
      </c>
      <c r="C36" s="111" t="inlineStr">
        <is>
          <t>REG_META_BASE_Y_LO</t>
        </is>
      </c>
      <c r="D36" s="113" t="inlineStr">
        <is>
          <t>&lt;meta_y_base[31:0]&gt;</t>
        </is>
      </c>
      <c r="E36" s="114" t="inlineStr">
        <is>
          <t>每帧配置</t>
        </is>
      </c>
      <c r="F36" s="114" t="inlineStr">
        <is>
          <t>压缩后 Y/RGBA metadata 存储基地址低 32 bit</t>
        </is>
      </c>
    </row>
    <row r="37">
      <c r="A37" s="111" t="inlineStr">
        <is>
          <t>2</t>
        </is>
      </c>
      <c r="B37" s="113" t="inlineStr">
        <is>
          <t>0x034</t>
        </is>
      </c>
      <c r="C37" s="111" t="inlineStr">
        <is>
          <t>REG_META_BASE_Y_HI</t>
        </is>
      </c>
      <c r="D37" s="113" t="inlineStr">
        <is>
          <t>&lt;meta_y_base[63:32]&gt;</t>
        </is>
      </c>
      <c r="E37" s="114" t="inlineStr">
        <is>
          <t>每帧配置</t>
        </is>
      </c>
      <c r="F37" s="114" t="inlineStr">
        <is>
          <t>压缩后 Y/RGBA metadata 存储基地址高 32 bit</t>
        </is>
      </c>
    </row>
    <row r="38">
      <c r="A38" s="111" t="inlineStr">
        <is>
          <t>3</t>
        </is>
      </c>
      <c r="B38" s="113" t="inlineStr">
        <is>
          <t>0x038</t>
        </is>
      </c>
      <c r="C38" s="111" t="inlineStr">
        <is>
          <t>REG_TILE_BASE_Y_LO</t>
        </is>
      </c>
      <c r="D38" s="113" t="inlineStr">
        <is>
          <t>&lt;tile_y_base[31:0]&gt;</t>
        </is>
      </c>
      <c r="E38" s="114" t="inlineStr">
        <is>
          <t>每帧配置</t>
        </is>
      </c>
      <c r="F38" s="114" t="inlineStr">
        <is>
          <t>压缩后 Y/RGBA tile 数据存储基地址低 32 bit</t>
        </is>
      </c>
    </row>
    <row r="39">
      <c r="A39" s="111" t="inlineStr">
        <is>
          <t>4</t>
        </is>
      </c>
      <c r="B39" s="113" t="inlineStr">
        <is>
          <t>0x03C</t>
        </is>
      </c>
      <c r="C39" s="111" t="inlineStr">
        <is>
          <t>REG_TILE_BASE_Y_HI</t>
        </is>
      </c>
      <c r="D39" s="113" t="inlineStr">
        <is>
          <t>&lt;tile_y_base[63:32]&gt;</t>
        </is>
      </c>
      <c r="E39" s="114" t="inlineStr">
        <is>
          <t>每帧配置</t>
        </is>
      </c>
      <c r="F39" s="114" t="inlineStr">
        <is>
          <t>压缩后 Y/RGBA tile 数据存储基地址高 32 bit</t>
        </is>
      </c>
    </row>
    <row r="40">
      <c r="A40" s="111" t="inlineStr">
        <is>
          <t>5</t>
        </is>
      </c>
      <c r="B40" s="113" t="inlineStr">
        <is>
          <t>0x040</t>
        </is>
      </c>
      <c r="C40" s="111" t="inlineStr">
        <is>
          <t>REG_META_BASE_UV_LO</t>
        </is>
      </c>
      <c r="D40" s="113" t="inlineStr">
        <is>
          <t>&lt;meta_uv_base[31:0]&gt;</t>
        </is>
      </c>
      <c r="E40" s="114" t="inlineStr">
        <is>
          <t>每帧配置</t>
        </is>
      </c>
      <c r="F40" s="114" t="inlineStr">
        <is>
          <t>UV metadata 存储基地址低 32 bit；RGBA 可写 0</t>
        </is>
      </c>
    </row>
    <row r="41">
      <c r="A41" s="111" t="inlineStr">
        <is>
          <t>6</t>
        </is>
      </c>
      <c r="B41" s="113" t="inlineStr">
        <is>
          <t>0x044</t>
        </is>
      </c>
      <c r="C41" s="111" t="inlineStr">
        <is>
          <t>REG_META_BASE_UV_HI</t>
        </is>
      </c>
      <c r="D41" s="113" t="inlineStr">
        <is>
          <t>&lt;meta_uv_base[63:32]&gt;</t>
        </is>
      </c>
      <c r="E41" s="114" t="inlineStr">
        <is>
          <t>每帧配置</t>
        </is>
      </c>
      <c r="F41" s="114" t="inlineStr">
        <is>
          <t>UV metadata 存储基地址高 32 bit；RGBA 可写 0</t>
        </is>
      </c>
    </row>
    <row r="42">
      <c r="A42" s="111" t="inlineStr">
        <is>
          <t>7</t>
        </is>
      </c>
      <c r="B42" s="113" t="inlineStr">
        <is>
          <t>0x048</t>
        </is>
      </c>
      <c r="C42" s="111" t="inlineStr">
        <is>
          <t>REG_TILE_BASE_UV_LO</t>
        </is>
      </c>
      <c r="D42" s="113" t="inlineStr">
        <is>
          <t>&lt;tile_uv_base[31:0]&gt;</t>
        </is>
      </c>
      <c r="E42" s="114" t="inlineStr">
        <is>
          <t>每帧配置</t>
        </is>
      </c>
      <c r="F42" s="114" t="inlineStr">
        <is>
          <t>UV tile 数据存储基地址低 32 bit；RGBA 可写 0</t>
        </is>
      </c>
    </row>
    <row r="43">
      <c r="A43" s="111" t="inlineStr">
        <is>
          <t>8</t>
        </is>
      </c>
      <c r="B43" s="113" t="inlineStr">
        <is>
          <t>0x04C</t>
        </is>
      </c>
      <c r="C43" s="111" t="inlineStr">
        <is>
          <t>REG_TILE_BASE_UV_HI</t>
        </is>
      </c>
      <c r="D43" s="113" t="inlineStr">
        <is>
          <t>&lt;tile_uv_base[63:32]&gt;</t>
        </is>
      </c>
      <c r="E43" s="114" t="inlineStr">
        <is>
          <t>每帧配置</t>
        </is>
      </c>
      <c r="F43" s="114" t="inlineStr">
        <is>
          <t>UV tile 数据存储基地址高 32 bit；写该 high word 后提交地址组</t>
        </is>
      </c>
    </row>
    <row r="44">
      <c r="A44" s="111" t="inlineStr">
        <is>
          <t>9</t>
        </is>
      </c>
      <c r="B44" s="113" t="inlineStr">
        <is>
          <t>0x060</t>
        </is>
      </c>
      <c r="C44" s="111" t="inlineStr">
        <is>
          <t>REG_IRQ_CTRL[5]</t>
        </is>
      </c>
      <c r="D44" s="113" t="inlineStr">
        <is>
          <t>0x00000020</t>
        </is>
      </c>
      <c r="E44" s="114" t="inlineStr">
        <is>
          <t>每帧配置</t>
        </is>
      </c>
      <c r="F44" s="114" t="inlineStr">
        <is>
          <t>写 start token，启动当前帧地址组</t>
        </is>
      </c>
    </row>
    <row r="45"/>
    <row r="46"/>
    <row r="47" ht="22" customHeight="1" s="73">
      <c r="A47" s="112" t="inlineStr">
        <is>
          <t>4. DEC 静态寄存器配置</t>
        </is>
      </c>
      <c r="B47" s="112" t="n"/>
      <c r="C47" s="112" t="n"/>
      <c r="D47" s="112" t="n"/>
      <c r="E47" s="112" t="n"/>
      <c r="F47" s="112" t="n"/>
    </row>
    <row r="48">
      <c r="A48" s="107" t="inlineStr">
        <is>
          <t>步骤</t>
        </is>
      </c>
      <c r="B48" s="107" t="inlineStr">
        <is>
          <t>地址</t>
        </is>
      </c>
      <c r="C48" s="107" t="inlineStr">
        <is>
          <t>寄存器</t>
        </is>
      </c>
      <c r="D48" s="107" t="inlineStr">
        <is>
          <t>写入值</t>
        </is>
      </c>
      <c r="E48" s="107" t="inlineStr">
        <is>
          <t>配置频率</t>
        </is>
      </c>
      <c r="F48" s="107" t="inlineStr">
        <is>
          <t>说明</t>
        </is>
      </c>
    </row>
    <row r="49">
      <c r="A49" s="111" t="inlineStr">
        <is>
          <t>1</t>
        </is>
      </c>
      <c r="B49" s="113" t="inlineStr">
        <is>
          <t>0x008</t>
        </is>
      </c>
      <c r="C49" s="111" t="inlineStr">
        <is>
          <t>APB_ADDR_TILE_CFG0</t>
        </is>
      </c>
      <c r="D49" s="113">
        <f>'UBWC寄存器配置'!AM9</f>
        <v/>
      </c>
      <c r="E49" s="114" t="inlineStr">
        <is>
          <t>图像格式变化时配置</t>
        </is>
      </c>
      <c r="F49" s="114" t="inlineStr">
        <is>
          <t>bank swizzle/bank spread 等固定建议配置</t>
        </is>
      </c>
    </row>
    <row r="50">
      <c r="A50" s="111" t="inlineStr">
        <is>
          <t>2</t>
        </is>
      </c>
      <c r="B50" s="113" t="inlineStr">
        <is>
          <t>0x00C</t>
        </is>
      </c>
      <c r="C50" s="111" t="inlineStr">
        <is>
          <t>APB_ADDR_TILE_CFG1</t>
        </is>
      </c>
      <c r="D50" s="113">
        <f>'UBWC寄存器配置'!AE9</f>
        <v/>
      </c>
      <c r="E50" s="114" t="inlineStr">
        <is>
          <t>图像尺寸变化时配置</t>
        </is>
      </c>
      <c r="F50" s="114" t="inlineStr">
        <is>
          <t>tile pitch</t>
        </is>
      </c>
    </row>
    <row r="51">
      <c r="A51" s="111" t="inlineStr">
        <is>
          <t>3</t>
        </is>
      </c>
      <c r="B51" s="113" t="inlineStr">
        <is>
          <t>0x010</t>
        </is>
      </c>
      <c r="C51" s="111" t="inlineStr">
        <is>
          <t>APB_ADDR_TILE_CFG2</t>
        </is>
      </c>
      <c r="D51" s="113" t="inlineStr">
        <is>
          <t>0x00000001</t>
        </is>
      </c>
      <c r="E51" s="114" t="inlineStr">
        <is>
          <t>图像格式变化时配置</t>
        </is>
      </c>
      <c r="F51" s="114" t="inlineStr">
        <is>
          <t>CI input type=1(tiled data)</t>
        </is>
      </c>
    </row>
    <row r="52">
      <c r="A52" s="111" t="inlineStr">
        <is>
          <t>4</t>
        </is>
      </c>
      <c r="B52" s="113" t="inlineStr">
        <is>
          <t>0x014</t>
        </is>
      </c>
      <c r="C52" s="111" t="inlineStr">
        <is>
          <t>APB_ADDR_VIVO_CFG</t>
        </is>
      </c>
      <c r="D52" s="113" t="inlineStr">
        <is>
          <t>0x00000001</t>
        </is>
      </c>
      <c r="E52" s="114" t="inlineStr">
        <is>
          <t>上电后一次或 reset 策略变化时配置</t>
        </is>
      </c>
      <c r="F52" s="114" t="inlineStr">
        <is>
          <t>VIVO decode enable</t>
        </is>
      </c>
    </row>
    <row r="53">
      <c r="A53" s="111" t="inlineStr">
        <is>
          <t>5</t>
        </is>
      </c>
      <c r="B53" s="113" t="inlineStr">
        <is>
          <t>0x018</t>
        </is>
      </c>
      <c r="C53" s="111" t="inlineStr">
        <is>
          <t>APB_ADDR_OTF_CFG0</t>
        </is>
      </c>
      <c r="D53" s="113">
        <f>'UBWC寄存器配置'!AF9</f>
        <v/>
      </c>
      <c r="E53" s="114" t="inlineStr">
        <is>
          <t>图像格式/active宽度变化时配置</t>
        </is>
      </c>
      <c r="F53" s="114" t="inlineStr">
        <is>
          <t>output OTF format + active image width</t>
        </is>
      </c>
    </row>
    <row r="54">
      <c r="A54" s="111" t="inlineStr">
        <is>
          <t>6</t>
        </is>
      </c>
      <c r="B54" s="113" t="inlineStr">
        <is>
          <t>0x01C</t>
        </is>
      </c>
      <c r="C54" s="111" t="inlineStr">
        <is>
          <t>APB_ADDR_OTF_CFG1</t>
        </is>
      </c>
      <c r="D54" s="113">
        <f>'UBWC寄存器配置'!AG9</f>
        <v/>
      </c>
      <c r="E54" s="114" t="inlineStr">
        <is>
          <t>OTF timing 变化时配置</t>
        </is>
      </c>
      <c r="F54" s="114" t="inlineStr">
        <is>
          <t>H_TOTAL/H_SYNC；示例按 active width 填最小 timing</t>
        </is>
      </c>
    </row>
    <row r="55">
      <c r="A55" s="111" t="inlineStr">
        <is>
          <t>7</t>
        </is>
      </c>
      <c r="B55" s="113" t="inlineStr">
        <is>
          <t>0x020</t>
        </is>
      </c>
      <c r="C55" s="111" t="inlineStr">
        <is>
          <t>APB_ADDR_OTF_CFG2</t>
        </is>
      </c>
      <c r="D55" s="113">
        <f>'UBWC寄存器配置'!AH9</f>
        <v/>
      </c>
      <c r="E55" s="114" t="inlineStr">
        <is>
          <t>OTF timing 变化时配置</t>
        </is>
      </c>
      <c r="F55" s="114" t="inlineStr">
        <is>
          <t>H_BP/H_ACT；H_ACT 使用 active width</t>
        </is>
      </c>
    </row>
    <row r="56">
      <c r="A56" s="111" t="inlineStr">
        <is>
          <t>8</t>
        </is>
      </c>
      <c r="B56" s="113" t="inlineStr">
        <is>
          <t>0x024</t>
        </is>
      </c>
      <c r="C56" s="111" t="inlineStr">
        <is>
          <t>APB_ADDR_OTF_CFG3</t>
        </is>
      </c>
      <c r="D56" s="113">
        <f>'UBWC寄存器配置'!AI9</f>
        <v/>
      </c>
      <c r="E56" s="114" t="inlineStr">
        <is>
          <t>OTF timing 变化时配置</t>
        </is>
      </c>
      <c r="F56" s="114" t="inlineStr">
        <is>
          <t>V_TOTAL/V_SYNC；示例按 active height 填最小 timing</t>
        </is>
      </c>
    </row>
    <row r="57">
      <c r="A57" s="111" t="inlineStr">
        <is>
          <t>9</t>
        </is>
      </c>
      <c r="B57" s="113" t="inlineStr">
        <is>
          <t>0x028</t>
        </is>
      </c>
      <c r="C57" s="111" t="inlineStr">
        <is>
          <t>APB_ADDR_OTF_CFG4</t>
        </is>
      </c>
      <c r="D57" s="113">
        <f>'UBWC寄存器配置'!AJ9</f>
        <v/>
      </c>
      <c r="E57" s="114" t="inlineStr">
        <is>
          <t>OTF timing 变化时配置</t>
        </is>
      </c>
      <c r="F57" s="114" t="inlineStr">
        <is>
          <t>V_BP/V_ACT；V_ACT 使用 active height，不用 stored_h</t>
        </is>
      </c>
    </row>
    <row r="58">
      <c r="A58" s="111" t="inlineStr">
        <is>
          <t>10</t>
        </is>
      </c>
      <c r="B58" s="113" t="inlineStr">
        <is>
          <t>0x02C</t>
        </is>
      </c>
      <c r="C58" s="111" t="inlineStr">
        <is>
          <t>APB_ADDR_META_CFG0</t>
        </is>
      </c>
      <c r="D58" s="113">
        <f>'UBWC寄存器配置'!AK9</f>
        <v/>
      </c>
      <c r="E58" s="114" t="inlineStr">
        <is>
          <t>图像尺寸变化时配置</t>
        </is>
      </c>
      <c r="F58" s="114" t="inlineStr">
        <is>
          <t>metadata tile_x/tile_y count，使用 stored/layout tile rows</t>
        </is>
      </c>
    </row>
    <row r="59">
      <c r="A59" s="111" t="inlineStr">
        <is>
          <t>11</t>
        </is>
      </c>
      <c r="B59" s="113" t="inlineStr">
        <is>
          <t>0x060</t>
        </is>
      </c>
      <c r="C59" s="111" t="inlineStr">
        <is>
          <t>APB_ADDR_IRQ_CTRL</t>
        </is>
      </c>
      <c r="D59" s="113" t="inlineStr">
        <is>
          <t>0x00000001</t>
        </is>
      </c>
      <c r="E59" s="114" t="inlineStr">
        <is>
          <t>上电后或中断策略变化时配置</t>
        </is>
      </c>
      <c r="F59" s="114" t="inlineStr">
        <is>
          <t>bit0 irq_enable=1</t>
        </is>
      </c>
    </row>
    <row r="60"/>
    <row r="61"/>
    <row r="62" ht="22" customHeight="1" s="73">
      <c r="A62" s="112" t="inlineStr">
        <is>
          <t>5. DEC 每帧地址与启动</t>
        </is>
      </c>
      <c r="B62" s="112" t="n"/>
      <c r="C62" s="112" t="n"/>
      <c r="D62" s="112" t="n"/>
      <c r="E62" s="112" t="n"/>
      <c r="F62" s="112" t="n"/>
    </row>
    <row r="63">
      <c r="A63" s="115" t="inlineStr">
        <is>
          <t>步骤</t>
        </is>
      </c>
      <c r="B63" s="115" t="inlineStr">
        <is>
          <t>地址</t>
        </is>
      </c>
      <c r="C63" s="115" t="inlineStr">
        <is>
          <t>寄存器/字段</t>
        </is>
      </c>
      <c r="D63" s="115" t="inlineStr">
        <is>
          <t>写入值</t>
        </is>
      </c>
      <c r="E63" s="115" t="inlineStr">
        <is>
          <t>配置频率</t>
        </is>
      </c>
      <c r="F63" s="115" t="inlineStr">
        <is>
          <t>说明</t>
        </is>
      </c>
    </row>
    <row r="64">
      <c r="A64" s="111" t="inlineStr">
        <is>
          <t>1</t>
        </is>
      </c>
      <c r="B64" s="113" t="inlineStr">
        <is>
          <t>0x030</t>
        </is>
      </c>
      <c r="C64" s="111" t="inlineStr">
        <is>
          <t>REG_META_BASE_Y_LO</t>
        </is>
      </c>
      <c r="D64" s="113" t="inlineStr">
        <is>
          <t>&lt;meta_y_base[31:0]&gt;</t>
        </is>
      </c>
      <c r="E64" s="114" t="inlineStr">
        <is>
          <t>每帧配置</t>
        </is>
      </c>
      <c r="F64" s="114" t="inlineStr">
        <is>
          <t>输入 UBWC Y/RGBA metadata 读取基地址低 32 bit</t>
        </is>
      </c>
    </row>
    <row r="65">
      <c r="A65" s="111" t="inlineStr">
        <is>
          <t>2</t>
        </is>
      </c>
      <c r="B65" s="113" t="inlineStr">
        <is>
          <t>0x034</t>
        </is>
      </c>
      <c r="C65" s="111" t="inlineStr">
        <is>
          <t>REG_META_BASE_Y_HI</t>
        </is>
      </c>
      <c r="D65" s="113" t="inlineStr">
        <is>
          <t>&lt;meta_y_base[63:32]&gt;</t>
        </is>
      </c>
      <c r="E65" s="114" t="inlineStr">
        <is>
          <t>每帧配置</t>
        </is>
      </c>
      <c r="F65" s="114" t="inlineStr">
        <is>
          <t>输入 UBWC Y/RGBA metadata 读取基地址高 32 bit</t>
        </is>
      </c>
    </row>
    <row r="66">
      <c r="A66" s="111" t="inlineStr">
        <is>
          <t>3</t>
        </is>
      </c>
      <c r="B66" s="113" t="inlineStr">
        <is>
          <t>0x038</t>
        </is>
      </c>
      <c r="C66" s="111" t="inlineStr">
        <is>
          <t>REG_TILE_BASE_Y_LO</t>
        </is>
      </c>
      <c r="D66" s="113" t="inlineStr">
        <is>
          <t>&lt;tile_y_base[31:0]&gt;</t>
        </is>
      </c>
      <c r="E66" s="114" t="inlineStr">
        <is>
          <t>每帧配置</t>
        </is>
      </c>
      <c r="F66" s="114" t="inlineStr">
        <is>
          <t>输入 UBWC Y/RGBA tile 数据读取基地址低 32 bit</t>
        </is>
      </c>
    </row>
    <row r="67">
      <c r="A67" s="111" t="inlineStr">
        <is>
          <t>4</t>
        </is>
      </c>
      <c r="B67" s="113" t="inlineStr">
        <is>
          <t>0x03C</t>
        </is>
      </c>
      <c r="C67" s="111" t="inlineStr">
        <is>
          <t>REG_TILE_BASE_Y_HI</t>
        </is>
      </c>
      <c r="D67" s="113" t="inlineStr">
        <is>
          <t>&lt;tile_y_base[63:32]&gt;</t>
        </is>
      </c>
      <c r="E67" s="114" t="inlineStr">
        <is>
          <t>每帧配置</t>
        </is>
      </c>
      <c r="F67" s="114" t="inlineStr">
        <is>
          <t>输入 UBWC Y/RGBA tile 数据读取基地址高 32 bit</t>
        </is>
      </c>
    </row>
    <row r="68">
      <c r="A68" s="111" t="inlineStr">
        <is>
          <t>5</t>
        </is>
      </c>
      <c r="B68" s="113" t="inlineStr">
        <is>
          <t>0x040</t>
        </is>
      </c>
      <c r="C68" s="111" t="inlineStr">
        <is>
          <t>REG_META_BASE_UV_LO</t>
        </is>
      </c>
      <c r="D68" s="113" t="inlineStr">
        <is>
          <t>&lt;meta_uv_base[31:0]&gt;</t>
        </is>
      </c>
      <c r="E68" s="114" t="inlineStr">
        <is>
          <t>每帧配置</t>
        </is>
      </c>
      <c r="F68" s="114" t="inlineStr">
        <is>
          <t>输入 UBWC UV metadata 读取基地址低 32 bit；RGBA 可写 0</t>
        </is>
      </c>
    </row>
    <row r="69">
      <c r="A69" s="111" t="inlineStr">
        <is>
          <t>6</t>
        </is>
      </c>
      <c r="B69" s="113" t="inlineStr">
        <is>
          <t>0x044</t>
        </is>
      </c>
      <c r="C69" s="111" t="inlineStr">
        <is>
          <t>REG_META_BASE_UV_HI</t>
        </is>
      </c>
      <c r="D69" s="113" t="inlineStr">
        <is>
          <t>&lt;meta_uv_base[63:32]&gt;</t>
        </is>
      </c>
      <c r="E69" s="114" t="inlineStr">
        <is>
          <t>每帧配置</t>
        </is>
      </c>
      <c r="F69" s="114" t="inlineStr">
        <is>
          <t>输入 UBWC UV metadata 读取基地址高 32 bit；RGBA 可写 0</t>
        </is>
      </c>
    </row>
    <row r="70">
      <c r="A70" s="111" t="inlineStr">
        <is>
          <t>7</t>
        </is>
      </c>
      <c r="B70" s="113" t="inlineStr">
        <is>
          <t>0x048</t>
        </is>
      </c>
      <c r="C70" s="111" t="inlineStr">
        <is>
          <t>REG_TILE_BASE_UV_LO</t>
        </is>
      </c>
      <c r="D70" s="113" t="inlineStr">
        <is>
          <t>&lt;tile_uv_base[31:0]&gt;</t>
        </is>
      </c>
      <c r="E70" s="114" t="inlineStr">
        <is>
          <t>每帧配置</t>
        </is>
      </c>
      <c r="F70" s="114" t="inlineStr">
        <is>
          <t>输入 UBWC UV tile 数据读取基地址低 32 bit；RGBA 可写 0</t>
        </is>
      </c>
    </row>
    <row r="71">
      <c r="A71" s="111" t="inlineStr">
        <is>
          <t>8</t>
        </is>
      </c>
      <c r="B71" s="113" t="inlineStr">
        <is>
          <t>0x04C</t>
        </is>
      </c>
      <c r="C71" s="111" t="inlineStr">
        <is>
          <t>REG_TILE_BASE_UV_HI</t>
        </is>
      </c>
      <c r="D71" s="113" t="inlineStr">
        <is>
          <t>&lt;tile_uv_base[63:32]&gt;</t>
        </is>
      </c>
      <c r="E71" s="114" t="inlineStr">
        <is>
          <t>每帧配置</t>
        </is>
      </c>
      <c r="F71" s="114" t="inlineStr">
        <is>
          <t>输入 UBWC UV tile 数据读取基地址高 32 bit；完整地址组写完后等待 start</t>
        </is>
      </c>
    </row>
    <row r="72">
      <c r="A72" s="111" t="inlineStr">
        <is>
          <t>9</t>
        </is>
      </c>
      <c r="B72" s="113" t="inlineStr">
        <is>
          <t>0x060</t>
        </is>
      </c>
      <c r="C72" s="111" t="inlineStr">
        <is>
          <t>APB_ADDR_IRQ_CTRL[5]</t>
        </is>
      </c>
      <c r="D72" s="113" t="inlineStr">
        <is>
          <t>0x00000020</t>
        </is>
      </c>
      <c r="E72" s="114" t="inlineStr">
        <is>
          <t>每帧配置</t>
        </is>
      </c>
      <c r="F72" s="114" t="inlineStr">
        <is>
          <t>写 start token；地址组和 start token 都有效后启动 decode</t>
        </is>
      </c>
    </row>
    <row r="73"/>
    <row r="74"/>
    <row r="75" ht="22" customHeight="1" s="73">
      <c r="A75" s="112" t="inlineStr">
        <is>
          <t>6. 计算说明</t>
        </is>
      </c>
      <c r="B75" s="112" t="n"/>
      <c r="C75" s="112" t="n"/>
      <c r="D75" s="112" t="n"/>
      <c r="E75" s="112" t="n"/>
      <c r="F75" s="112" t="n"/>
    </row>
    <row r="76">
      <c r="A76" s="116" t="inlineStr">
        <is>
          <t>项目</t>
        </is>
      </c>
      <c r="B76" s="116" t="inlineStr">
        <is>
          <t>公式/来源</t>
        </is>
      </c>
      <c r="C76" s="116" t="inlineStr">
        <is>
          <t>说明</t>
        </is>
      </c>
    </row>
    <row r="77">
      <c r="A77" s="111" t="inlineStr">
        <is>
          <t>active_W/H</t>
        </is>
      </c>
      <c r="B77" s="113" t="inlineStr">
        <is>
          <t>原图真实有效宽高</t>
        </is>
      </c>
      <c r="C77" s="111" t="inlineStr">
        <is>
          <t>软件可见图像有效范围；ENC META_ACTIVE_SIZE 和 DEC OTF H_ACT/V_ACT 使用该值。</t>
        </is>
      </c>
    </row>
    <row r="78">
      <c r="A78" s="111" t="inlineStr">
        <is>
          <t>stored_W</t>
        </is>
      </c>
      <c r="B78" s="113">
        <f> max(原表 padding_W, ceil(active_W, tile_w*4))</f>
        <v/>
      </c>
      <c r="C78" s="111" t="inlineStr">
        <is>
          <t>用于 UBWC tile/meta/layout；不是 DEC OTF 输出有效宽度。</t>
        </is>
      </c>
    </row>
    <row r="79">
      <c r="A79" s="111" t="inlineStr">
        <is>
          <t>stored_H</t>
        </is>
      </c>
      <c r="B79" s="113">
        <f> max(原表 padding_H, ceil(active_H, tile_h*4))</f>
        <v/>
      </c>
      <c r="C79" s="111" t="inlineStr">
        <is>
          <t>用于 UBWC tile/meta/layout；不是 DEC OTF 输出有效高度。</t>
        </is>
      </c>
    </row>
    <row r="80">
      <c r="A80" s="111" t="inlineStr">
        <is>
          <t>Y_tile_cols</t>
        </is>
      </c>
      <c r="B80" s="113">
        <f> stored_W / tile_w</f>
        <v/>
      </c>
      <c r="C80" s="111" t="inlineStr">
        <is>
          <t>RGBA/Y plane 横向 tile 数。</t>
        </is>
      </c>
    </row>
    <row r="81">
      <c r="A81" s="111" t="inlineStr">
        <is>
          <t>Y_tile_rows</t>
        </is>
      </c>
      <c r="B81" s="113">
        <f> stored_H / tile_h</f>
        <v/>
      </c>
      <c r="C81" s="111" t="inlineStr">
        <is>
          <t>RGBA/Y plane 纵向 tile 数。</t>
        </is>
      </c>
    </row>
    <row r="82">
      <c r="A82" s="111" t="inlineStr">
        <is>
          <t>meta_pitch</t>
        </is>
      </c>
      <c r="B82" s="113">
        <f> ceil(Y_tile_cols, 64)</f>
        <v/>
      </c>
      <c r="C82" s="111" t="inlineStr">
        <is>
          <t>metadata pitch 按 64B 对齐。</t>
        </is>
      </c>
    </row>
    <row r="83">
      <c r="A83" s="111" t="inlineStr">
        <is>
          <t>tile_pitch</t>
        </is>
      </c>
      <c r="B83" s="113">
        <f> stored_W * bpp / 16</f>
        <v/>
      </c>
      <c r="C83" s="111" t="inlineStr">
        <is>
          <t>本表按 RTL 当前寄存器语义生成配置值。</t>
        </is>
      </c>
    </row>
    <row r="84">
      <c r="A84" s="111" t="inlineStr">
        <is>
          <t>DEC p_v_act / V_ACT</t>
        </is>
      </c>
      <c r="B84" s="113">
        <f> active_H</f>
        <v/>
      </c>
      <c r="C84" s="111" t="inlineStr">
        <is>
          <t>不要填 stored_H；padding 行只属于存储/layout，不属于最终 OTF 有效输出。</t>
        </is>
      </c>
    </row>
  </sheetData>
  <mergeCells count="8">
    <mergeCell ref="A47:F47"/>
    <mergeCell ref="B2:F2"/>
    <mergeCell ref="A1:F1"/>
    <mergeCell ref="A5:F5"/>
    <mergeCell ref="A75:F75"/>
    <mergeCell ref="A34:F34"/>
    <mergeCell ref="A62:F62"/>
    <mergeCell ref="A21:F21"/>
  </mergeCells>
  <hyperlinks>
    <hyperlink xmlns:r="http://schemas.openxmlformats.org/officeDocument/2006/relationships" ref="B3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73" min="1" max="1"/>
    <col width="18" customWidth="1" style="73" min="2" max="2"/>
    <col width="18" customWidth="1" style="73" min="3" max="3"/>
    <col width="20" customWidth="1" style="73" min="4" max="4"/>
    <col width="44" customWidth="1" style="73" min="5" max="5"/>
    <col width="56" customWidth="1" style="73" min="6" max="6"/>
  </cols>
  <sheetData>
    <row r="1" ht="28" customHeight="1" s="73">
      <c r="A1" s="109" t="inlineStr">
        <is>
          <t>UBWC case02 寄存器配置</t>
        </is>
      </c>
      <c r="B1" s="109" t="n"/>
      <c r="C1" s="109" t="n"/>
      <c r="D1" s="109" t="n"/>
      <c r="E1" s="109" t="n"/>
      <c r="F1" s="109" t="n"/>
    </row>
    <row r="2" ht="34" customHeight="1" s="73">
      <c r="A2" s="110" t="inlineStr">
        <is>
          <t>说明</t>
        </is>
      </c>
      <c r="B2" s="110" t="inlineStr">
        <is>
          <t>本页所有关键值引用总览页；如需改格式或是否使用 padding，请优先修改总览页对应行。Excel 打开后会自动重算公式。</t>
        </is>
      </c>
      <c r="C2" s="110" t="n"/>
      <c r="D2" s="110" t="n"/>
      <c r="E2" s="110" t="n"/>
      <c r="F2" s="110" t="n"/>
    </row>
    <row r="3">
      <c r="A3" s="111" t="inlineStr">
        <is>
          <t>返回总览</t>
        </is>
      </c>
      <c r="B3" s="111" t="inlineStr">
        <is>
          <t>UBWC寄存器配置</t>
        </is>
      </c>
      <c r="C3" s="111" t="n"/>
      <c r="D3" s="111" t="n"/>
      <c r="E3" s="111" t="n"/>
      <c r="F3" s="111" t="n"/>
    </row>
    <row r="4"/>
    <row r="5" ht="22" customHeight="1" s="73">
      <c r="A5" s="112" t="inlineStr">
        <is>
          <t>1. 输入参数与派生尺寸</t>
        </is>
      </c>
      <c r="B5" s="112" t="n"/>
      <c r="C5" s="112" t="n"/>
      <c r="D5" s="112" t="n"/>
      <c r="E5" s="112" t="n"/>
      <c r="F5" s="112" t="n"/>
    </row>
    <row r="6">
      <c r="A6" s="107" t="inlineStr">
        <is>
          <t>字段</t>
        </is>
      </c>
      <c r="B6" s="107" t="inlineStr">
        <is>
          <t>值</t>
        </is>
      </c>
      <c r="C6" s="107" t="inlineStr">
        <is>
          <t>说明</t>
        </is>
      </c>
    </row>
    <row r="7">
      <c r="A7" s="111" t="inlineStr">
        <is>
          <t>Case ID</t>
        </is>
      </c>
      <c r="B7" s="113">
        <f>'UBWC寄存器配置'!A10</f>
        <v/>
      </c>
      <c r="C7" s="111" t="inlineStr">
        <is>
          <t>原始 case 编号</t>
        </is>
      </c>
    </row>
    <row r="8">
      <c r="A8" s="111" t="inlineStr">
        <is>
          <t>Use case</t>
        </is>
      </c>
      <c r="B8" s="113">
        <f>'UBWC寄存器配置'!B10</f>
        <v/>
      </c>
      <c r="C8" s="111" t="inlineStr">
        <is>
          <t>原表用途</t>
        </is>
      </c>
    </row>
    <row r="9">
      <c r="A9" s="111" t="inlineStr">
        <is>
          <t>格式</t>
        </is>
      </c>
      <c r="B9" s="113">
        <f>'UBWC寄存器配置'!E10</f>
        <v/>
      </c>
      <c r="C9" s="111" t="inlineStr">
        <is>
          <t>当前配置格式；总览页可下拉修改</t>
        </is>
      </c>
    </row>
    <row r="10">
      <c r="A10" s="111" t="inlineStr">
        <is>
          <t>format_code</t>
        </is>
      </c>
      <c r="B10" s="113">
        <f>'UBWC寄存器配置'!F10</f>
        <v/>
      </c>
      <c r="C10" s="111" t="inlineStr">
        <is>
          <t>写入 OTF/format 字段的格式码</t>
        </is>
      </c>
    </row>
    <row r="11">
      <c r="A11" s="111" t="inlineStr">
        <is>
          <t>原图 W/H</t>
        </is>
      </c>
      <c r="B11" s="113">
        <f>'UBWC寄存器配置'!C10&amp;" x "&amp;'UBWC寄存器配置'!D10</f>
        <v/>
      </c>
      <c r="C11" s="111" t="inlineStr">
        <is>
          <t>真实有效图像尺寸</t>
        </is>
      </c>
    </row>
    <row r="12">
      <c r="A12" s="111" t="inlineStr">
        <is>
          <t>active W/H</t>
        </is>
      </c>
      <c r="B12" s="113">
        <f>'UBWC寄存器配置'!O10&amp;" x "&amp;'UBWC寄存器配置'!P10</f>
        <v/>
      </c>
      <c r="C12" s="111" t="inlineStr">
        <is>
          <t>ENC META_ACTIVE_SIZE / DEC OTF active 使用</t>
        </is>
      </c>
    </row>
    <row r="13">
      <c r="A13" s="111" t="inlineStr">
        <is>
          <t>stored W/H</t>
        </is>
      </c>
      <c r="B13" s="113">
        <f>'UBWC寄存器配置'!Q10&amp;" x "&amp;'UBWC寄存器配置'!R10</f>
        <v/>
      </c>
      <c r="C13" s="111" t="inlineStr">
        <is>
          <t>UBWC layout/tile/meta 使用的对齐后尺寸</t>
        </is>
      </c>
    </row>
    <row r="14">
      <c r="A14" s="111" t="inlineStr">
        <is>
          <t>ENC OTF W/H</t>
        </is>
      </c>
      <c r="B14" s="113">
        <f>'UBWC寄存器配置'!M10&amp;" x "&amp;'UBWC寄存器配置'!N10</f>
        <v/>
      </c>
      <c r="C14" s="111" t="inlineStr">
        <is>
          <t>ENC 输入流尺寸；默认不使用 padding</t>
        </is>
      </c>
    </row>
    <row r="15">
      <c r="A15" s="111" t="inlineStr">
        <is>
          <t>tile W/H</t>
        </is>
      </c>
      <c r="B15" s="113">
        <f>'UBWC寄存器配置'!G10&amp;" x "&amp;'UBWC寄存器配置'!H10</f>
        <v/>
      </c>
      <c r="C15" s="111" t="inlineStr">
        <is>
          <t>由格式决定</t>
        </is>
      </c>
    </row>
    <row r="16">
      <c r="A16" s="111" t="inlineStr">
        <is>
          <t>Y tile cols/rows</t>
        </is>
      </c>
      <c r="B16" s="113">
        <f>'UBWC寄存器配置'!S10&amp;" x "&amp;'UBWC寄存器配置'!T10</f>
        <v/>
      </c>
      <c r="C16" s="111" t="inlineStr">
        <is>
          <t>Y/RGBA plane tile 数</t>
        </is>
      </c>
    </row>
    <row r="17">
      <c r="A17" s="111" t="inlineStr">
        <is>
          <t>UV tile cols</t>
        </is>
      </c>
      <c r="B17" s="113">
        <f>'UBWC寄存器配置'!U10</f>
        <v/>
      </c>
      <c r="C17" s="111" t="inlineStr">
        <is>
          <t>RGBA 为 0；YUV420 与 Y tile cols 相同</t>
        </is>
      </c>
    </row>
    <row r="18">
      <c r="A18" s="111" t="inlineStr">
        <is>
          <t>meta pitch</t>
        </is>
      </c>
      <c r="B18" s="113">
        <f>'UBWC寄存器配置'!V10</f>
        <v/>
      </c>
      <c r="C18" s="111" t="inlineStr">
        <is>
          <t>metadata pitch，按 64B 对齐</t>
        </is>
      </c>
    </row>
    <row r="19">
      <c r="A19" s="111" t="inlineStr">
        <is>
          <t>tile pitch</t>
        </is>
      </c>
      <c r="B19" s="113">
        <f>'UBWC寄存器配置'!W10</f>
        <v/>
      </c>
      <c r="C19" s="111" t="inlineStr">
        <is>
          <t>压缩 tile plane pitch 配置值</t>
        </is>
      </c>
    </row>
    <row r="20"/>
    <row r="21" ht="22" customHeight="1" s="73">
      <c r="A21" s="112" t="inlineStr">
        <is>
          <t>2. ENC 静态寄存器配置</t>
        </is>
      </c>
      <c r="B21" s="112" t="n"/>
      <c r="C21" s="112" t="n"/>
      <c r="D21" s="112" t="n"/>
      <c r="E21" s="112" t="n"/>
      <c r="F21" s="112" t="n"/>
    </row>
    <row r="22">
      <c r="A22" s="107" t="inlineStr">
        <is>
          <t>步骤</t>
        </is>
      </c>
      <c r="B22" s="107" t="inlineStr">
        <is>
          <t>地址</t>
        </is>
      </c>
      <c r="C22" s="107" t="inlineStr">
        <is>
          <t>寄存器</t>
        </is>
      </c>
      <c r="D22" s="107" t="inlineStr">
        <is>
          <t>写入值</t>
        </is>
      </c>
      <c r="E22" s="107" t="inlineStr">
        <is>
          <t>配置频率</t>
        </is>
      </c>
      <c r="F22" s="107" t="inlineStr">
        <is>
          <t>说明</t>
        </is>
      </c>
    </row>
    <row r="23">
      <c r="A23" s="111" t="inlineStr">
        <is>
          <t>1</t>
        </is>
      </c>
      <c r="B23" s="113" t="inlineStr">
        <is>
          <t>0x008</t>
        </is>
      </c>
      <c r="C23" s="111" t="inlineStr">
        <is>
          <t>REG_TILE_CFG0</t>
        </is>
      </c>
      <c r="D23" s="113">
        <f>'UBWC寄存器配置'!AL10</f>
        <v/>
      </c>
      <c r="E23" s="114" t="inlineStr">
        <is>
          <t>图像格式变化时配置</t>
        </is>
      </c>
      <c r="F23" s="114" t="inlineStr">
        <is>
          <t>bank swizzle/bank spread 等固定建议配置</t>
        </is>
      </c>
    </row>
    <row r="24">
      <c r="A24" s="111" t="inlineStr">
        <is>
          <t>2</t>
        </is>
      </c>
      <c r="B24" s="113" t="inlineStr">
        <is>
          <t>0x00C</t>
        </is>
      </c>
      <c r="C24" s="111" t="inlineStr">
        <is>
          <t>REG_TILE_CFG1</t>
        </is>
      </c>
      <c r="D24" s="113">
        <f>'UBWC寄存器配置'!X10</f>
        <v/>
      </c>
      <c r="E24" s="114" t="inlineStr">
        <is>
          <t>图像格式/尺寸变化时配置</t>
        </is>
      </c>
      <c r="F24" s="114" t="inlineStr">
        <is>
          <t>tile_pitch 和 RGBA/YUV plane 类型相关配置</t>
        </is>
      </c>
    </row>
    <row r="25">
      <c r="A25" s="111" t="inlineStr">
        <is>
          <t>3</t>
        </is>
      </c>
      <c r="B25" s="113" t="inlineStr">
        <is>
          <t>0x010</t>
        </is>
      </c>
      <c r="C25" s="111" t="inlineStr">
        <is>
          <t>REG_ENC_CI_CFG0</t>
        </is>
      </c>
      <c r="D25" s="113" t="inlineStr">
        <is>
          <t>0x00000701</t>
        </is>
      </c>
      <c r="E25" s="114" t="inlineStr">
        <is>
          <t>图像格式变化时配置</t>
        </is>
      </c>
      <c r="F25" s="114" t="inlineStr">
        <is>
          <t>CI input type=1(tiled data)，CI alen 默认 7</t>
        </is>
      </c>
    </row>
    <row r="26">
      <c r="A26" s="111" t="inlineStr">
        <is>
          <t>4</t>
        </is>
      </c>
      <c r="B26" s="113" t="inlineStr">
        <is>
          <t>0x020</t>
        </is>
      </c>
      <c r="C26" s="111" t="inlineStr">
        <is>
          <t>REG_OTF_CFG0</t>
        </is>
      </c>
      <c r="D26" s="113">
        <f>'UBWC寄存器配置'!Y10</f>
        <v/>
      </c>
      <c r="E26" s="114" t="inlineStr">
        <is>
          <t>图像格式变化时配置</t>
        </is>
      </c>
      <c r="F26" s="114" t="inlineStr">
        <is>
          <t>ENC OTF 输入 format</t>
        </is>
      </c>
    </row>
    <row r="27">
      <c r="A27" s="111" t="inlineStr">
        <is>
          <t>5</t>
        </is>
      </c>
      <c r="B27" s="113" t="inlineStr">
        <is>
          <t>0x024</t>
        </is>
      </c>
      <c r="C27" s="111" t="inlineStr">
        <is>
          <t>REG_OTF_CFG1</t>
        </is>
      </c>
      <c r="D27" s="113">
        <f>'UBWC寄存器配置'!Z10</f>
        <v/>
      </c>
      <c r="E27" s="114" t="inlineStr">
        <is>
          <t>图像尺寸变化时配置</t>
        </is>
      </c>
      <c r="F27" s="114" t="inlineStr">
        <is>
          <t>ENC OTF 输入 width/height；若总览选择 padding，则这里用 padding W/H</t>
        </is>
      </c>
    </row>
    <row r="28">
      <c r="A28" s="111" t="inlineStr">
        <is>
          <t>6</t>
        </is>
      </c>
      <c r="B28" s="113" t="inlineStr">
        <is>
          <t>0x028</t>
        </is>
      </c>
      <c r="C28" s="111" t="inlineStr">
        <is>
          <t>REG_OTF_CFG2</t>
        </is>
      </c>
      <c r="D28" s="113">
        <f>'UBWC寄存器配置'!AA10</f>
        <v/>
      </c>
      <c r="E28" s="114" t="inlineStr">
        <is>
          <t>图像格式变化时配置</t>
        </is>
      </c>
      <c r="F28" s="114" t="inlineStr">
        <is>
          <t>tile_w/tile_h</t>
        </is>
      </c>
    </row>
    <row r="29">
      <c r="A29" s="111" t="inlineStr">
        <is>
          <t>7</t>
        </is>
      </c>
      <c r="B29" s="113" t="inlineStr">
        <is>
          <t>0x02C</t>
        </is>
      </c>
      <c r="C29" s="111" t="inlineStr">
        <is>
          <t>REG_OTF_CFG3</t>
        </is>
      </c>
      <c r="D29" s="113">
        <f>'UBWC寄存器配置'!AB10</f>
        <v/>
      </c>
      <c r="E29" s="114" t="inlineStr">
        <is>
          <t>图像尺寸变化时配置</t>
        </is>
      </c>
      <c r="F29" s="114" t="inlineStr">
        <is>
          <t>Y/UV tile cols；RGBA 的 UV 侧为 0</t>
        </is>
      </c>
    </row>
    <row r="30">
      <c r="A30" s="111" t="inlineStr">
        <is>
          <t>8</t>
        </is>
      </c>
      <c r="B30" s="113" t="inlineStr">
        <is>
          <t>0x050</t>
        </is>
      </c>
      <c r="C30" s="111" t="inlineStr">
        <is>
          <t>REG_META_ACTIVE_SIZE</t>
        </is>
      </c>
      <c r="D30" s="113">
        <f>'UBWC寄存器配置'!AC10</f>
        <v/>
      </c>
      <c r="E30" s="114" t="inlineStr">
        <is>
          <t>图像有效尺寸变化时配置</t>
        </is>
      </c>
      <c r="F30" s="114" t="inlineStr">
        <is>
          <t>真实 active W/H，不使用 padding W/H</t>
        </is>
      </c>
    </row>
    <row r="31">
      <c r="A31" s="111" t="inlineStr">
        <is>
          <t>9</t>
        </is>
      </c>
      <c r="B31" s="113" t="inlineStr">
        <is>
          <t>0x054</t>
        </is>
      </c>
      <c r="C31" s="111" t="inlineStr">
        <is>
          <t>REG_META_PITCH</t>
        </is>
      </c>
      <c r="D31" s="113">
        <f>'UBWC寄存器配置'!AD10</f>
        <v/>
      </c>
      <c r="E31" s="114" t="inlineStr">
        <is>
          <t>图像尺寸变化时配置</t>
        </is>
      </c>
      <c r="F31" s="114" t="inlineStr">
        <is>
          <t>metadata plane pitch</t>
        </is>
      </c>
    </row>
    <row r="32">
      <c r="A32" s="111" t="inlineStr">
        <is>
          <t>10</t>
        </is>
      </c>
      <c r="B32" s="113" t="inlineStr">
        <is>
          <t>0x060</t>
        </is>
      </c>
      <c r="C32" s="111" t="inlineStr">
        <is>
          <t>REG_IRQ_CTRL</t>
        </is>
      </c>
      <c r="D32" s="113" t="inlineStr">
        <is>
          <t>0x00000001</t>
        </is>
      </c>
      <c r="E32" s="114" t="inlineStr">
        <is>
          <t>上电后或中断策略变化时配置</t>
        </is>
      </c>
      <c r="F32" s="114" t="inlineStr">
        <is>
          <t>bit0 irq_enable=1；bit6 可按需配置 vsync reset enable</t>
        </is>
      </c>
    </row>
    <row r="33"/>
    <row r="34" ht="22" customHeight="1" s="73">
      <c r="A34" s="112" t="inlineStr">
        <is>
          <t>3. ENC 每帧地址与启动</t>
        </is>
      </c>
      <c r="B34" s="112" t="n"/>
      <c r="C34" s="112" t="n"/>
      <c r="D34" s="112" t="n"/>
      <c r="E34" s="112" t="n"/>
      <c r="F34" s="112" t="n"/>
    </row>
    <row r="35">
      <c r="A35" s="115" t="inlineStr">
        <is>
          <t>步骤</t>
        </is>
      </c>
      <c r="B35" s="115" t="inlineStr">
        <is>
          <t>地址</t>
        </is>
      </c>
      <c r="C35" s="115" t="inlineStr">
        <is>
          <t>寄存器/字段</t>
        </is>
      </c>
      <c r="D35" s="115" t="inlineStr">
        <is>
          <t>写入值</t>
        </is>
      </c>
      <c r="E35" s="115" t="inlineStr">
        <is>
          <t>配置频率</t>
        </is>
      </c>
      <c r="F35" s="115" t="inlineStr">
        <is>
          <t>说明</t>
        </is>
      </c>
    </row>
    <row r="36">
      <c r="A36" s="111" t="inlineStr">
        <is>
          <t>1</t>
        </is>
      </c>
      <c r="B36" s="113" t="inlineStr">
        <is>
          <t>0x030</t>
        </is>
      </c>
      <c r="C36" s="111" t="inlineStr">
        <is>
          <t>REG_META_BASE_Y_LO</t>
        </is>
      </c>
      <c r="D36" s="113" t="inlineStr">
        <is>
          <t>&lt;meta_y_base[31:0]&gt;</t>
        </is>
      </c>
      <c r="E36" s="114" t="inlineStr">
        <is>
          <t>每帧配置</t>
        </is>
      </c>
      <c r="F36" s="114" t="inlineStr">
        <is>
          <t>压缩后 Y/RGBA metadata 存储基地址低 32 bit</t>
        </is>
      </c>
    </row>
    <row r="37">
      <c r="A37" s="111" t="inlineStr">
        <is>
          <t>2</t>
        </is>
      </c>
      <c r="B37" s="113" t="inlineStr">
        <is>
          <t>0x034</t>
        </is>
      </c>
      <c r="C37" s="111" t="inlineStr">
        <is>
          <t>REG_META_BASE_Y_HI</t>
        </is>
      </c>
      <c r="D37" s="113" t="inlineStr">
        <is>
          <t>&lt;meta_y_base[63:32]&gt;</t>
        </is>
      </c>
      <c r="E37" s="114" t="inlineStr">
        <is>
          <t>每帧配置</t>
        </is>
      </c>
      <c r="F37" s="114" t="inlineStr">
        <is>
          <t>压缩后 Y/RGBA metadata 存储基地址高 32 bit</t>
        </is>
      </c>
    </row>
    <row r="38">
      <c r="A38" s="111" t="inlineStr">
        <is>
          <t>3</t>
        </is>
      </c>
      <c r="B38" s="113" t="inlineStr">
        <is>
          <t>0x038</t>
        </is>
      </c>
      <c r="C38" s="111" t="inlineStr">
        <is>
          <t>REG_TILE_BASE_Y_LO</t>
        </is>
      </c>
      <c r="D38" s="113" t="inlineStr">
        <is>
          <t>&lt;tile_y_base[31:0]&gt;</t>
        </is>
      </c>
      <c r="E38" s="114" t="inlineStr">
        <is>
          <t>每帧配置</t>
        </is>
      </c>
      <c r="F38" s="114" t="inlineStr">
        <is>
          <t>压缩后 Y/RGBA tile 数据存储基地址低 32 bit</t>
        </is>
      </c>
    </row>
    <row r="39">
      <c r="A39" s="111" t="inlineStr">
        <is>
          <t>4</t>
        </is>
      </c>
      <c r="B39" s="113" t="inlineStr">
        <is>
          <t>0x03C</t>
        </is>
      </c>
      <c r="C39" s="111" t="inlineStr">
        <is>
          <t>REG_TILE_BASE_Y_HI</t>
        </is>
      </c>
      <c r="D39" s="113" t="inlineStr">
        <is>
          <t>&lt;tile_y_base[63:32]&gt;</t>
        </is>
      </c>
      <c r="E39" s="114" t="inlineStr">
        <is>
          <t>每帧配置</t>
        </is>
      </c>
      <c r="F39" s="114" t="inlineStr">
        <is>
          <t>压缩后 Y/RGBA tile 数据存储基地址高 32 bit</t>
        </is>
      </c>
    </row>
    <row r="40">
      <c r="A40" s="111" t="inlineStr">
        <is>
          <t>5</t>
        </is>
      </c>
      <c r="B40" s="113" t="inlineStr">
        <is>
          <t>0x040</t>
        </is>
      </c>
      <c r="C40" s="111" t="inlineStr">
        <is>
          <t>REG_META_BASE_UV_LO</t>
        </is>
      </c>
      <c r="D40" s="113" t="inlineStr">
        <is>
          <t>&lt;meta_uv_base[31:0]&gt;</t>
        </is>
      </c>
      <c r="E40" s="114" t="inlineStr">
        <is>
          <t>每帧配置</t>
        </is>
      </c>
      <c r="F40" s="114" t="inlineStr">
        <is>
          <t>UV metadata 存储基地址低 32 bit；RGBA 可写 0</t>
        </is>
      </c>
    </row>
    <row r="41">
      <c r="A41" s="111" t="inlineStr">
        <is>
          <t>6</t>
        </is>
      </c>
      <c r="B41" s="113" t="inlineStr">
        <is>
          <t>0x044</t>
        </is>
      </c>
      <c r="C41" s="111" t="inlineStr">
        <is>
          <t>REG_META_BASE_UV_HI</t>
        </is>
      </c>
      <c r="D41" s="113" t="inlineStr">
        <is>
          <t>&lt;meta_uv_base[63:32]&gt;</t>
        </is>
      </c>
      <c r="E41" s="114" t="inlineStr">
        <is>
          <t>每帧配置</t>
        </is>
      </c>
      <c r="F41" s="114" t="inlineStr">
        <is>
          <t>UV metadata 存储基地址高 32 bit；RGBA 可写 0</t>
        </is>
      </c>
    </row>
    <row r="42">
      <c r="A42" s="111" t="inlineStr">
        <is>
          <t>7</t>
        </is>
      </c>
      <c r="B42" s="113" t="inlineStr">
        <is>
          <t>0x048</t>
        </is>
      </c>
      <c r="C42" s="111" t="inlineStr">
        <is>
          <t>REG_TILE_BASE_UV_LO</t>
        </is>
      </c>
      <c r="D42" s="113" t="inlineStr">
        <is>
          <t>&lt;tile_uv_base[31:0]&gt;</t>
        </is>
      </c>
      <c r="E42" s="114" t="inlineStr">
        <is>
          <t>每帧配置</t>
        </is>
      </c>
      <c r="F42" s="114" t="inlineStr">
        <is>
          <t>UV tile 数据存储基地址低 32 bit；RGBA 可写 0</t>
        </is>
      </c>
    </row>
    <row r="43">
      <c r="A43" s="111" t="inlineStr">
        <is>
          <t>8</t>
        </is>
      </c>
      <c r="B43" s="113" t="inlineStr">
        <is>
          <t>0x04C</t>
        </is>
      </c>
      <c r="C43" s="111" t="inlineStr">
        <is>
          <t>REG_TILE_BASE_UV_HI</t>
        </is>
      </c>
      <c r="D43" s="113" t="inlineStr">
        <is>
          <t>&lt;tile_uv_base[63:32]&gt;</t>
        </is>
      </c>
      <c r="E43" s="114" t="inlineStr">
        <is>
          <t>每帧配置</t>
        </is>
      </c>
      <c r="F43" s="114" t="inlineStr">
        <is>
          <t>UV tile 数据存储基地址高 32 bit；写该 high word 后提交地址组</t>
        </is>
      </c>
    </row>
    <row r="44">
      <c r="A44" s="111" t="inlineStr">
        <is>
          <t>9</t>
        </is>
      </c>
      <c r="B44" s="113" t="inlineStr">
        <is>
          <t>0x060</t>
        </is>
      </c>
      <c r="C44" s="111" t="inlineStr">
        <is>
          <t>REG_IRQ_CTRL[5]</t>
        </is>
      </c>
      <c r="D44" s="113" t="inlineStr">
        <is>
          <t>0x00000020</t>
        </is>
      </c>
      <c r="E44" s="114" t="inlineStr">
        <is>
          <t>每帧配置</t>
        </is>
      </c>
      <c r="F44" s="114" t="inlineStr">
        <is>
          <t>写 start token，启动当前帧地址组</t>
        </is>
      </c>
    </row>
    <row r="45"/>
    <row r="46"/>
    <row r="47" ht="22" customHeight="1" s="73">
      <c r="A47" s="112" t="inlineStr">
        <is>
          <t>4. DEC 静态寄存器配置</t>
        </is>
      </c>
      <c r="B47" s="112" t="n"/>
      <c r="C47" s="112" t="n"/>
      <c r="D47" s="112" t="n"/>
      <c r="E47" s="112" t="n"/>
      <c r="F47" s="112" t="n"/>
    </row>
    <row r="48">
      <c r="A48" s="107" t="inlineStr">
        <is>
          <t>步骤</t>
        </is>
      </c>
      <c r="B48" s="107" t="inlineStr">
        <is>
          <t>地址</t>
        </is>
      </c>
      <c r="C48" s="107" t="inlineStr">
        <is>
          <t>寄存器</t>
        </is>
      </c>
      <c r="D48" s="107" t="inlineStr">
        <is>
          <t>写入值</t>
        </is>
      </c>
      <c r="E48" s="107" t="inlineStr">
        <is>
          <t>配置频率</t>
        </is>
      </c>
      <c r="F48" s="107" t="inlineStr">
        <is>
          <t>说明</t>
        </is>
      </c>
    </row>
    <row r="49">
      <c r="A49" s="111" t="inlineStr">
        <is>
          <t>1</t>
        </is>
      </c>
      <c r="B49" s="113" t="inlineStr">
        <is>
          <t>0x008</t>
        </is>
      </c>
      <c r="C49" s="111" t="inlineStr">
        <is>
          <t>APB_ADDR_TILE_CFG0</t>
        </is>
      </c>
      <c r="D49" s="113">
        <f>'UBWC寄存器配置'!AM10</f>
        <v/>
      </c>
      <c r="E49" s="114" t="inlineStr">
        <is>
          <t>图像格式变化时配置</t>
        </is>
      </c>
      <c r="F49" s="114" t="inlineStr">
        <is>
          <t>bank swizzle/bank spread 等固定建议配置</t>
        </is>
      </c>
    </row>
    <row r="50">
      <c r="A50" s="111" t="inlineStr">
        <is>
          <t>2</t>
        </is>
      </c>
      <c r="B50" s="113" t="inlineStr">
        <is>
          <t>0x00C</t>
        </is>
      </c>
      <c r="C50" s="111" t="inlineStr">
        <is>
          <t>APB_ADDR_TILE_CFG1</t>
        </is>
      </c>
      <c r="D50" s="113">
        <f>'UBWC寄存器配置'!AE10</f>
        <v/>
      </c>
      <c r="E50" s="114" t="inlineStr">
        <is>
          <t>图像尺寸变化时配置</t>
        </is>
      </c>
      <c r="F50" s="114" t="inlineStr">
        <is>
          <t>tile pitch</t>
        </is>
      </c>
    </row>
    <row r="51">
      <c r="A51" s="111" t="inlineStr">
        <is>
          <t>3</t>
        </is>
      </c>
      <c r="B51" s="113" t="inlineStr">
        <is>
          <t>0x010</t>
        </is>
      </c>
      <c r="C51" s="111" t="inlineStr">
        <is>
          <t>APB_ADDR_TILE_CFG2</t>
        </is>
      </c>
      <c r="D51" s="113" t="inlineStr">
        <is>
          <t>0x00000001</t>
        </is>
      </c>
      <c r="E51" s="114" t="inlineStr">
        <is>
          <t>图像格式变化时配置</t>
        </is>
      </c>
      <c r="F51" s="114" t="inlineStr">
        <is>
          <t>CI input type=1(tiled data)</t>
        </is>
      </c>
    </row>
    <row r="52">
      <c r="A52" s="111" t="inlineStr">
        <is>
          <t>4</t>
        </is>
      </c>
      <c r="B52" s="113" t="inlineStr">
        <is>
          <t>0x014</t>
        </is>
      </c>
      <c r="C52" s="111" t="inlineStr">
        <is>
          <t>APB_ADDR_VIVO_CFG</t>
        </is>
      </c>
      <c r="D52" s="113" t="inlineStr">
        <is>
          <t>0x00000001</t>
        </is>
      </c>
      <c r="E52" s="114" t="inlineStr">
        <is>
          <t>上电后一次或 reset 策略变化时配置</t>
        </is>
      </c>
      <c r="F52" s="114" t="inlineStr">
        <is>
          <t>VIVO decode enable</t>
        </is>
      </c>
    </row>
    <row r="53">
      <c r="A53" s="111" t="inlineStr">
        <is>
          <t>5</t>
        </is>
      </c>
      <c r="B53" s="113" t="inlineStr">
        <is>
          <t>0x018</t>
        </is>
      </c>
      <c r="C53" s="111" t="inlineStr">
        <is>
          <t>APB_ADDR_OTF_CFG0</t>
        </is>
      </c>
      <c r="D53" s="113">
        <f>'UBWC寄存器配置'!AF10</f>
        <v/>
      </c>
      <c r="E53" s="114" t="inlineStr">
        <is>
          <t>图像格式/active宽度变化时配置</t>
        </is>
      </c>
      <c r="F53" s="114" t="inlineStr">
        <is>
          <t>output OTF format + active image width</t>
        </is>
      </c>
    </row>
    <row r="54">
      <c r="A54" s="111" t="inlineStr">
        <is>
          <t>6</t>
        </is>
      </c>
      <c r="B54" s="113" t="inlineStr">
        <is>
          <t>0x01C</t>
        </is>
      </c>
      <c r="C54" s="111" t="inlineStr">
        <is>
          <t>APB_ADDR_OTF_CFG1</t>
        </is>
      </c>
      <c r="D54" s="113">
        <f>'UBWC寄存器配置'!AG10</f>
        <v/>
      </c>
      <c r="E54" s="114" t="inlineStr">
        <is>
          <t>OTF timing 变化时配置</t>
        </is>
      </c>
      <c r="F54" s="114" t="inlineStr">
        <is>
          <t>H_TOTAL/H_SYNC；示例按 active width 填最小 timing</t>
        </is>
      </c>
    </row>
    <row r="55">
      <c r="A55" s="111" t="inlineStr">
        <is>
          <t>7</t>
        </is>
      </c>
      <c r="B55" s="113" t="inlineStr">
        <is>
          <t>0x020</t>
        </is>
      </c>
      <c r="C55" s="111" t="inlineStr">
        <is>
          <t>APB_ADDR_OTF_CFG2</t>
        </is>
      </c>
      <c r="D55" s="113">
        <f>'UBWC寄存器配置'!AH10</f>
        <v/>
      </c>
      <c r="E55" s="114" t="inlineStr">
        <is>
          <t>OTF timing 变化时配置</t>
        </is>
      </c>
      <c r="F55" s="114" t="inlineStr">
        <is>
          <t>H_BP/H_ACT；H_ACT 使用 active width</t>
        </is>
      </c>
    </row>
    <row r="56">
      <c r="A56" s="111" t="inlineStr">
        <is>
          <t>8</t>
        </is>
      </c>
      <c r="B56" s="113" t="inlineStr">
        <is>
          <t>0x024</t>
        </is>
      </c>
      <c r="C56" s="111" t="inlineStr">
        <is>
          <t>APB_ADDR_OTF_CFG3</t>
        </is>
      </c>
      <c r="D56" s="113">
        <f>'UBWC寄存器配置'!AI10</f>
        <v/>
      </c>
      <c r="E56" s="114" t="inlineStr">
        <is>
          <t>OTF timing 变化时配置</t>
        </is>
      </c>
      <c r="F56" s="114" t="inlineStr">
        <is>
          <t>V_TOTAL/V_SYNC；示例按 active height 填最小 timing</t>
        </is>
      </c>
    </row>
    <row r="57">
      <c r="A57" s="111" t="inlineStr">
        <is>
          <t>9</t>
        </is>
      </c>
      <c r="B57" s="113" t="inlineStr">
        <is>
          <t>0x028</t>
        </is>
      </c>
      <c r="C57" s="111" t="inlineStr">
        <is>
          <t>APB_ADDR_OTF_CFG4</t>
        </is>
      </c>
      <c r="D57" s="113">
        <f>'UBWC寄存器配置'!AJ10</f>
        <v/>
      </c>
      <c r="E57" s="114" t="inlineStr">
        <is>
          <t>OTF timing 变化时配置</t>
        </is>
      </c>
      <c r="F57" s="114" t="inlineStr">
        <is>
          <t>V_BP/V_ACT；V_ACT 使用 active height，不用 stored_h</t>
        </is>
      </c>
    </row>
    <row r="58">
      <c r="A58" s="111" t="inlineStr">
        <is>
          <t>10</t>
        </is>
      </c>
      <c r="B58" s="113" t="inlineStr">
        <is>
          <t>0x02C</t>
        </is>
      </c>
      <c r="C58" s="111" t="inlineStr">
        <is>
          <t>APB_ADDR_META_CFG0</t>
        </is>
      </c>
      <c r="D58" s="113">
        <f>'UBWC寄存器配置'!AK10</f>
        <v/>
      </c>
      <c r="E58" s="114" t="inlineStr">
        <is>
          <t>图像尺寸变化时配置</t>
        </is>
      </c>
      <c r="F58" s="114" t="inlineStr">
        <is>
          <t>metadata tile_x/tile_y count，使用 stored/layout tile rows</t>
        </is>
      </c>
    </row>
    <row r="59">
      <c r="A59" s="111" t="inlineStr">
        <is>
          <t>11</t>
        </is>
      </c>
      <c r="B59" s="113" t="inlineStr">
        <is>
          <t>0x060</t>
        </is>
      </c>
      <c r="C59" s="111" t="inlineStr">
        <is>
          <t>APB_ADDR_IRQ_CTRL</t>
        </is>
      </c>
      <c r="D59" s="113" t="inlineStr">
        <is>
          <t>0x00000001</t>
        </is>
      </c>
      <c r="E59" s="114" t="inlineStr">
        <is>
          <t>上电后或中断策略变化时配置</t>
        </is>
      </c>
      <c r="F59" s="114" t="inlineStr">
        <is>
          <t>bit0 irq_enable=1</t>
        </is>
      </c>
    </row>
    <row r="60"/>
    <row r="61"/>
    <row r="62" ht="22" customHeight="1" s="73">
      <c r="A62" s="112" t="inlineStr">
        <is>
          <t>5. DEC 每帧地址与启动</t>
        </is>
      </c>
      <c r="B62" s="112" t="n"/>
      <c r="C62" s="112" t="n"/>
      <c r="D62" s="112" t="n"/>
      <c r="E62" s="112" t="n"/>
      <c r="F62" s="112" t="n"/>
    </row>
    <row r="63">
      <c r="A63" s="115" t="inlineStr">
        <is>
          <t>步骤</t>
        </is>
      </c>
      <c r="B63" s="115" t="inlineStr">
        <is>
          <t>地址</t>
        </is>
      </c>
      <c r="C63" s="115" t="inlineStr">
        <is>
          <t>寄存器/字段</t>
        </is>
      </c>
      <c r="D63" s="115" t="inlineStr">
        <is>
          <t>写入值</t>
        </is>
      </c>
      <c r="E63" s="115" t="inlineStr">
        <is>
          <t>配置频率</t>
        </is>
      </c>
      <c r="F63" s="115" t="inlineStr">
        <is>
          <t>说明</t>
        </is>
      </c>
    </row>
    <row r="64">
      <c r="A64" s="111" t="inlineStr">
        <is>
          <t>1</t>
        </is>
      </c>
      <c r="B64" s="113" t="inlineStr">
        <is>
          <t>0x030</t>
        </is>
      </c>
      <c r="C64" s="111" t="inlineStr">
        <is>
          <t>REG_META_BASE_Y_LO</t>
        </is>
      </c>
      <c r="D64" s="113" t="inlineStr">
        <is>
          <t>&lt;meta_y_base[31:0]&gt;</t>
        </is>
      </c>
      <c r="E64" s="114" t="inlineStr">
        <is>
          <t>每帧配置</t>
        </is>
      </c>
      <c r="F64" s="114" t="inlineStr">
        <is>
          <t>输入 UBWC Y/RGBA metadata 读取基地址低 32 bit</t>
        </is>
      </c>
    </row>
    <row r="65">
      <c r="A65" s="111" t="inlineStr">
        <is>
          <t>2</t>
        </is>
      </c>
      <c r="B65" s="113" t="inlineStr">
        <is>
          <t>0x034</t>
        </is>
      </c>
      <c r="C65" s="111" t="inlineStr">
        <is>
          <t>REG_META_BASE_Y_HI</t>
        </is>
      </c>
      <c r="D65" s="113" t="inlineStr">
        <is>
          <t>&lt;meta_y_base[63:32]&gt;</t>
        </is>
      </c>
      <c r="E65" s="114" t="inlineStr">
        <is>
          <t>每帧配置</t>
        </is>
      </c>
      <c r="F65" s="114" t="inlineStr">
        <is>
          <t>输入 UBWC Y/RGBA metadata 读取基地址高 32 bit</t>
        </is>
      </c>
    </row>
    <row r="66">
      <c r="A66" s="111" t="inlineStr">
        <is>
          <t>3</t>
        </is>
      </c>
      <c r="B66" s="113" t="inlineStr">
        <is>
          <t>0x038</t>
        </is>
      </c>
      <c r="C66" s="111" t="inlineStr">
        <is>
          <t>REG_TILE_BASE_Y_LO</t>
        </is>
      </c>
      <c r="D66" s="113" t="inlineStr">
        <is>
          <t>&lt;tile_y_base[31:0]&gt;</t>
        </is>
      </c>
      <c r="E66" s="114" t="inlineStr">
        <is>
          <t>每帧配置</t>
        </is>
      </c>
      <c r="F66" s="114" t="inlineStr">
        <is>
          <t>输入 UBWC Y/RGBA tile 数据读取基地址低 32 bit</t>
        </is>
      </c>
    </row>
    <row r="67">
      <c r="A67" s="111" t="inlineStr">
        <is>
          <t>4</t>
        </is>
      </c>
      <c r="B67" s="113" t="inlineStr">
        <is>
          <t>0x03C</t>
        </is>
      </c>
      <c r="C67" s="111" t="inlineStr">
        <is>
          <t>REG_TILE_BASE_Y_HI</t>
        </is>
      </c>
      <c r="D67" s="113" t="inlineStr">
        <is>
          <t>&lt;tile_y_base[63:32]&gt;</t>
        </is>
      </c>
      <c r="E67" s="114" t="inlineStr">
        <is>
          <t>每帧配置</t>
        </is>
      </c>
      <c r="F67" s="114" t="inlineStr">
        <is>
          <t>输入 UBWC Y/RGBA tile 数据读取基地址高 32 bit</t>
        </is>
      </c>
    </row>
    <row r="68">
      <c r="A68" s="111" t="inlineStr">
        <is>
          <t>5</t>
        </is>
      </c>
      <c r="B68" s="113" t="inlineStr">
        <is>
          <t>0x040</t>
        </is>
      </c>
      <c r="C68" s="111" t="inlineStr">
        <is>
          <t>REG_META_BASE_UV_LO</t>
        </is>
      </c>
      <c r="D68" s="113" t="inlineStr">
        <is>
          <t>&lt;meta_uv_base[31:0]&gt;</t>
        </is>
      </c>
      <c r="E68" s="114" t="inlineStr">
        <is>
          <t>每帧配置</t>
        </is>
      </c>
      <c r="F68" s="114" t="inlineStr">
        <is>
          <t>输入 UBWC UV metadata 读取基地址低 32 bit；RGBA 可写 0</t>
        </is>
      </c>
    </row>
    <row r="69">
      <c r="A69" s="111" t="inlineStr">
        <is>
          <t>6</t>
        </is>
      </c>
      <c r="B69" s="113" t="inlineStr">
        <is>
          <t>0x044</t>
        </is>
      </c>
      <c r="C69" s="111" t="inlineStr">
        <is>
          <t>REG_META_BASE_UV_HI</t>
        </is>
      </c>
      <c r="D69" s="113" t="inlineStr">
        <is>
          <t>&lt;meta_uv_base[63:32]&gt;</t>
        </is>
      </c>
      <c r="E69" s="114" t="inlineStr">
        <is>
          <t>每帧配置</t>
        </is>
      </c>
      <c r="F69" s="114" t="inlineStr">
        <is>
          <t>输入 UBWC UV metadata 读取基地址高 32 bit；RGBA 可写 0</t>
        </is>
      </c>
    </row>
    <row r="70">
      <c r="A70" s="111" t="inlineStr">
        <is>
          <t>7</t>
        </is>
      </c>
      <c r="B70" s="113" t="inlineStr">
        <is>
          <t>0x048</t>
        </is>
      </c>
      <c r="C70" s="111" t="inlineStr">
        <is>
          <t>REG_TILE_BASE_UV_LO</t>
        </is>
      </c>
      <c r="D70" s="113" t="inlineStr">
        <is>
          <t>&lt;tile_uv_base[31:0]&gt;</t>
        </is>
      </c>
      <c r="E70" s="114" t="inlineStr">
        <is>
          <t>每帧配置</t>
        </is>
      </c>
      <c r="F70" s="114" t="inlineStr">
        <is>
          <t>输入 UBWC UV tile 数据读取基地址低 32 bit；RGBA 可写 0</t>
        </is>
      </c>
    </row>
    <row r="71">
      <c r="A71" s="111" t="inlineStr">
        <is>
          <t>8</t>
        </is>
      </c>
      <c r="B71" s="113" t="inlineStr">
        <is>
          <t>0x04C</t>
        </is>
      </c>
      <c r="C71" s="111" t="inlineStr">
        <is>
          <t>REG_TILE_BASE_UV_HI</t>
        </is>
      </c>
      <c r="D71" s="113" t="inlineStr">
        <is>
          <t>&lt;tile_uv_base[63:32]&gt;</t>
        </is>
      </c>
      <c r="E71" s="114" t="inlineStr">
        <is>
          <t>每帧配置</t>
        </is>
      </c>
      <c r="F71" s="114" t="inlineStr">
        <is>
          <t>输入 UBWC UV tile 数据读取基地址高 32 bit；完整地址组写完后等待 start</t>
        </is>
      </c>
    </row>
    <row r="72">
      <c r="A72" s="111" t="inlineStr">
        <is>
          <t>9</t>
        </is>
      </c>
      <c r="B72" s="113" t="inlineStr">
        <is>
          <t>0x060</t>
        </is>
      </c>
      <c r="C72" s="111" t="inlineStr">
        <is>
          <t>APB_ADDR_IRQ_CTRL[5]</t>
        </is>
      </c>
      <c r="D72" s="113" t="inlineStr">
        <is>
          <t>0x00000020</t>
        </is>
      </c>
      <c r="E72" s="114" t="inlineStr">
        <is>
          <t>每帧配置</t>
        </is>
      </c>
      <c r="F72" s="114" t="inlineStr">
        <is>
          <t>写 start token；地址组和 start token 都有效后启动 decode</t>
        </is>
      </c>
    </row>
    <row r="73"/>
    <row r="74"/>
    <row r="75" ht="22" customHeight="1" s="73">
      <c r="A75" s="112" t="inlineStr">
        <is>
          <t>6. 计算说明</t>
        </is>
      </c>
      <c r="B75" s="112" t="n"/>
      <c r="C75" s="112" t="n"/>
      <c r="D75" s="112" t="n"/>
      <c r="E75" s="112" t="n"/>
      <c r="F75" s="112" t="n"/>
    </row>
    <row r="76">
      <c r="A76" s="116" t="inlineStr">
        <is>
          <t>项目</t>
        </is>
      </c>
      <c r="B76" s="116" t="inlineStr">
        <is>
          <t>公式/来源</t>
        </is>
      </c>
      <c r="C76" s="116" t="inlineStr">
        <is>
          <t>说明</t>
        </is>
      </c>
    </row>
    <row r="77">
      <c r="A77" s="111" t="inlineStr">
        <is>
          <t>active_W/H</t>
        </is>
      </c>
      <c r="B77" s="113" t="inlineStr">
        <is>
          <t>原图真实有效宽高</t>
        </is>
      </c>
      <c r="C77" s="111" t="inlineStr">
        <is>
          <t>软件可见图像有效范围；ENC META_ACTIVE_SIZE 和 DEC OTF H_ACT/V_ACT 使用该值。</t>
        </is>
      </c>
    </row>
    <row r="78">
      <c r="A78" s="111" t="inlineStr">
        <is>
          <t>stored_W</t>
        </is>
      </c>
      <c r="B78" s="113">
        <f> max(原表 padding_W, ceil(active_W, tile_w*4))</f>
        <v/>
      </c>
      <c r="C78" s="111" t="inlineStr">
        <is>
          <t>用于 UBWC tile/meta/layout；不是 DEC OTF 输出有效宽度。</t>
        </is>
      </c>
    </row>
    <row r="79">
      <c r="A79" s="111" t="inlineStr">
        <is>
          <t>stored_H</t>
        </is>
      </c>
      <c r="B79" s="113">
        <f> max(原表 padding_H, ceil(active_H, tile_h*4))</f>
        <v/>
      </c>
      <c r="C79" s="111" t="inlineStr">
        <is>
          <t>用于 UBWC tile/meta/layout；不是 DEC OTF 输出有效高度。</t>
        </is>
      </c>
    </row>
    <row r="80">
      <c r="A80" s="111" t="inlineStr">
        <is>
          <t>Y_tile_cols</t>
        </is>
      </c>
      <c r="B80" s="113">
        <f> stored_W / tile_w</f>
        <v/>
      </c>
      <c r="C80" s="111" t="inlineStr">
        <is>
          <t>RGBA/Y plane 横向 tile 数。</t>
        </is>
      </c>
    </row>
    <row r="81">
      <c r="A81" s="111" t="inlineStr">
        <is>
          <t>Y_tile_rows</t>
        </is>
      </c>
      <c r="B81" s="113">
        <f> stored_H / tile_h</f>
        <v/>
      </c>
      <c r="C81" s="111" t="inlineStr">
        <is>
          <t>RGBA/Y plane 纵向 tile 数。</t>
        </is>
      </c>
    </row>
    <row r="82">
      <c r="A82" s="111" t="inlineStr">
        <is>
          <t>meta_pitch</t>
        </is>
      </c>
      <c r="B82" s="113">
        <f> ceil(Y_tile_cols, 64)</f>
        <v/>
      </c>
      <c r="C82" s="111" t="inlineStr">
        <is>
          <t>metadata pitch 按 64B 对齐。</t>
        </is>
      </c>
    </row>
    <row r="83">
      <c r="A83" s="111" t="inlineStr">
        <is>
          <t>tile_pitch</t>
        </is>
      </c>
      <c r="B83" s="113">
        <f> stored_W * bpp / 16</f>
        <v/>
      </c>
      <c r="C83" s="111" t="inlineStr">
        <is>
          <t>本表按 RTL 当前寄存器语义生成配置值。</t>
        </is>
      </c>
    </row>
    <row r="84">
      <c r="A84" s="111" t="inlineStr">
        <is>
          <t>DEC p_v_act / V_ACT</t>
        </is>
      </c>
      <c r="B84" s="113">
        <f> active_H</f>
        <v/>
      </c>
      <c r="C84" s="111" t="inlineStr">
        <is>
          <t>不要填 stored_H；padding 行只属于存储/layout，不属于最终 OTF 有效输出。</t>
        </is>
      </c>
    </row>
  </sheetData>
  <mergeCells count="8">
    <mergeCell ref="A47:F47"/>
    <mergeCell ref="B2:F2"/>
    <mergeCell ref="A1:F1"/>
    <mergeCell ref="A5:F5"/>
    <mergeCell ref="A75:F75"/>
    <mergeCell ref="A34:F34"/>
    <mergeCell ref="A62:F62"/>
    <mergeCell ref="A21:F21"/>
  </mergeCells>
  <hyperlinks>
    <hyperlink xmlns:r="http://schemas.openxmlformats.org/officeDocument/2006/relationships" ref="B3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73" min="1" max="1"/>
    <col width="18" customWidth="1" style="73" min="2" max="2"/>
    <col width="18" customWidth="1" style="73" min="3" max="3"/>
    <col width="20" customWidth="1" style="73" min="4" max="4"/>
    <col width="44" customWidth="1" style="73" min="5" max="5"/>
    <col width="56" customWidth="1" style="73" min="6" max="6"/>
  </cols>
  <sheetData>
    <row r="1" ht="28" customHeight="1" s="73">
      <c r="A1" s="109" t="inlineStr">
        <is>
          <t>UBWC case03 寄存器配置</t>
        </is>
      </c>
      <c r="B1" s="109" t="n"/>
      <c r="C1" s="109" t="n"/>
      <c r="D1" s="109" t="n"/>
      <c r="E1" s="109" t="n"/>
      <c r="F1" s="109" t="n"/>
    </row>
    <row r="2" ht="34" customHeight="1" s="73">
      <c r="A2" s="110" t="inlineStr">
        <is>
          <t>说明</t>
        </is>
      </c>
      <c r="B2" s="110" t="inlineStr">
        <is>
          <t>本页所有关键值引用总览页；如需改格式或是否使用 padding，请优先修改总览页对应行。Excel 打开后会自动重算公式。</t>
        </is>
      </c>
      <c r="C2" s="110" t="n"/>
      <c r="D2" s="110" t="n"/>
      <c r="E2" s="110" t="n"/>
      <c r="F2" s="110" t="n"/>
    </row>
    <row r="3">
      <c r="A3" s="111" t="inlineStr">
        <is>
          <t>返回总览</t>
        </is>
      </c>
      <c r="B3" s="111" t="inlineStr">
        <is>
          <t>UBWC寄存器配置</t>
        </is>
      </c>
      <c r="C3" s="111" t="n"/>
      <c r="D3" s="111" t="n"/>
      <c r="E3" s="111" t="n"/>
      <c r="F3" s="111" t="n"/>
    </row>
    <row r="4"/>
    <row r="5" ht="22" customHeight="1" s="73">
      <c r="A5" s="112" t="inlineStr">
        <is>
          <t>1. 输入参数与派生尺寸</t>
        </is>
      </c>
      <c r="B5" s="112" t="n"/>
      <c r="C5" s="112" t="n"/>
      <c r="D5" s="112" t="n"/>
      <c r="E5" s="112" t="n"/>
      <c r="F5" s="112" t="n"/>
    </row>
    <row r="6">
      <c r="A6" s="107" t="inlineStr">
        <is>
          <t>字段</t>
        </is>
      </c>
      <c r="B6" s="107" t="inlineStr">
        <is>
          <t>值</t>
        </is>
      </c>
      <c r="C6" s="107" t="inlineStr">
        <is>
          <t>说明</t>
        </is>
      </c>
    </row>
    <row r="7">
      <c r="A7" s="111" t="inlineStr">
        <is>
          <t>Case ID</t>
        </is>
      </c>
      <c r="B7" s="113">
        <f>'UBWC寄存器配置'!A11</f>
        <v/>
      </c>
      <c r="C7" s="111" t="inlineStr">
        <is>
          <t>原始 case 编号</t>
        </is>
      </c>
    </row>
    <row r="8">
      <c r="A8" s="111" t="inlineStr">
        <is>
          <t>Use case</t>
        </is>
      </c>
      <c r="B8" s="113">
        <f>'UBWC寄存器配置'!B11</f>
        <v/>
      </c>
      <c r="C8" s="111" t="inlineStr">
        <is>
          <t>原表用途</t>
        </is>
      </c>
    </row>
    <row r="9">
      <c r="A9" s="111" t="inlineStr">
        <is>
          <t>格式</t>
        </is>
      </c>
      <c r="B9" s="113">
        <f>'UBWC寄存器配置'!E11</f>
        <v/>
      </c>
      <c r="C9" s="111" t="inlineStr">
        <is>
          <t>当前配置格式；总览页可下拉修改</t>
        </is>
      </c>
    </row>
    <row r="10">
      <c r="A10" s="111" t="inlineStr">
        <is>
          <t>format_code</t>
        </is>
      </c>
      <c r="B10" s="113">
        <f>'UBWC寄存器配置'!F11</f>
        <v/>
      </c>
      <c r="C10" s="111" t="inlineStr">
        <is>
          <t>写入 OTF/format 字段的格式码</t>
        </is>
      </c>
    </row>
    <row r="11">
      <c r="A11" s="111" t="inlineStr">
        <is>
          <t>原图 W/H</t>
        </is>
      </c>
      <c r="B11" s="113">
        <f>'UBWC寄存器配置'!C11&amp;" x "&amp;'UBWC寄存器配置'!D11</f>
        <v/>
      </c>
      <c r="C11" s="111" t="inlineStr">
        <is>
          <t>真实有效图像尺寸</t>
        </is>
      </c>
    </row>
    <row r="12">
      <c r="A12" s="111" t="inlineStr">
        <is>
          <t>active W/H</t>
        </is>
      </c>
      <c r="B12" s="113">
        <f>'UBWC寄存器配置'!O11&amp;" x "&amp;'UBWC寄存器配置'!P11</f>
        <v/>
      </c>
      <c r="C12" s="111" t="inlineStr">
        <is>
          <t>ENC META_ACTIVE_SIZE / DEC OTF active 使用</t>
        </is>
      </c>
    </row>
    <row r="13">
      <c r="A13" s="111" t="inlineStr">
        <is>
          <t>stored W/H</t>
        </is>
      </c>
      <c r="B13" s="113">
        <f>'UBWC寄存器配置'!Q11&amp;" x "&amp;'UBWC寄存器配置'!R11</f>
        <v/>
      </c>
      <c r="C13" s="111" t="inlineStr">
        <is>
          <t>UBWC layout/tile/meta 使用的对齐后尺寸</t>
        </is>
      </c>
    </row>
    <row r="14">
      <c r="A14" s="111" t="inlineStr">
        <is>
          <t>ENC OTF W/H</t>
        </is>
      </c>
      <c r="B14" s="113">
        <f>'UBWC寄存器配置'!M11&amp;" x "&amp;'UBWC寄存器配置'!N11</f>
        <v/>
      </c>
      <c r="C14" s="111" t="inlineStr">
        <is>
          <t>ENC 输入流尺寸；默认不使用 padding</t>
        </is>
      </c>
    </row>
    <row r="15">
      <c r="A15" s="111" t="inlineStr">
        <is>
          <t>tile W/H</t>
        </is>
      </c>
      <c r="B15" s="113">
        <f>'UBWC寄存器配置'!G11&amp;" x "&amp;'UBWC寄存器配置'!H11</f>
        <v/>
      </c>
      <c r="C15" s="111" t="inlineStr">
        <is>
          <t>由格式决定</t>
        </is>
      </c>
    </row>
    <row r="16">
      <c r="A16" s="111" t="inlineStr">
        <is>
          <t>Y tile cols/rows</t>
        </is>
      </c>
      <c r="B16" s="113">
        <f>'UBWC寄存器配置'!S11&amp;" x "&amp;'UBWC寄存器配置'!T11</f>
        <v/>
      </c>
      <c r="C16" s="111" t="inlineStr">
        <is>
          <t>Y/RGBA plane tile 数</t>
        </is>
      </c>
    </row>
    <row r="17">
      <c r="A17" s="111" t="inlineStr">
        <is>
          <t>UV tile cols</t>
        </is>
      </c>
      <c r="B17" s="113">
        <f>'UBWC寄存器配置'!U11</f>
        <v/>
      </c>
      <c r="C17" s="111" t="inlineStr">
        <is>
          <t>RGBA 为 0；YUV420 与 Y tile cols 相同</t>
        </is>
      </c>
    </row>
    <row r="18">
      <c r="A18" s="111" t="inlineStr">
        <is>
          <t>meta pitch</t>
        </is>
      </c>
      <c r="B18" s="113">
        <f>'UBWC寄存器配置'!V11</f>
        <v/>
      </c>
      <c r="C18" s="111" t="inlineStr">
        <is>
          <t>metadata pitch，按 64B 对齐</t>
        </is>
      </c>
    </row>
    <row r="19">
      <c r="A19" s="111" t="inlineStr">
        <is>
          <t>tile pitch</t>
        </is>
      </c>
      <c r="B19" s="113">
        <f>'UBWC寄存器配置'!W11</f>
        <v/>
      </c>
      <c r="C19" s="111" t="inlineStr">
        <is>
          <t>压缩 tile plane pitch 配置值</t>
        </is>
      </c>
    </row>
    <row r="20"/>
    <row r="21" ht="22" customHeight="1" s="73">
      <c r="A21" s="112" t="inlineStr">
        <is>
          <t>2. ENC 静态寄存器配置</t>
        </is>
      </c>
      <c r="B21" s="112" t="n"/>
      <c r="C21" s="112" t="n"/>
      <c r="D21" s="112" t="n"/>
      <c r="E21" s="112" t="n"/>
      <c r="F21" s="112" t="n"/>
    </row>
    <row r="22">
      <c r="A22" s="107" t="inlineStr">
        <is>
          <t>步骤</t>
        </is>
      </c>
      <c r="B22" s="107" t="inlineStr">
        <is>
          <t>地址</t>
        </is>
      </c>
      <c r="C22" s="107" t="inlineStr">
        <is>
          <t>寄存器</t>
        </is>
      </c>
      <c r="D22" s="107" t="inlineStr">
        <is>
          <t>写入值</t>
        </is>
      </c>
      <c r="E22" s="107" t="inlineStr">
        <is>
          <t>配置频率</t>
        </is>
      </c>
      <c r="F22" s="107" t="inlineStr">
        <is>
          <t>说明</t>
        </is>
      </c>
    </row>
    <row r="23">
      <c r="A23" s="111" t="inlineStr">
        <is>
          <t>1</t>
        </is>
      </c>
      <c r="B23" s="113" t="inlineStr">
        <is>
          <t>0x008</t>
        </is>
      </c>
      <c r="C23" s="111" t="inlineStr">
        <is>
          <t>REG_TILE_CFG0</t>
        </is>
      </c>
      <c r="D23" s="113">
        <f>'UBWC寄存器配置'!AL11</f>
        <v/>
      </c>
      <c r="E23" s="114" t="inlineStr">
        <is>
          <t>图像格式变化时配置</t>
        </is>
      </c>
      <c r="F23" s="114" t="inlineStr">
        <is>
          <t>bank swizzle/bank spread 等固定建议配置</t>
        </is>
      </c>
    </row>
    <row r="24">
      <c r="A24" s="111" t="inlineStr">
        <is>
          <t>2</t>
        </is>
      </c>
      <c r="B24" s="113" t="inlineStr">
        <is>
          <t>0x00C</t>
        </is>
      </c>
      <c r="C24" s="111" t="inlineStr">
        <is>
          <t>REG_TILE_CFG1</t>
        </is>
      </c>
      <c r="D24" s="113">
        <f>'UBWC寄存器配置'!X11</f>
        <v/>
      </c>
      <c r="E24" s="114" t="inlineStr">
        <is>
          <t>图像格式/尺寸变化时配置</t>
        </is>
      </c>
      <c r="F24" s="114" t="inlineStr">
        <is>
          <t>tile_pitch 和 RGBA/YUV plane 类型相关配置</t>
        </is>
      </c>
    </row>
    <row r="25">
      <c r="A25" s="111" t="inlineStr">
        <is>
          <t>3</t>
        </is>
      </c>
      <c r="B25" s="113" t="inlineStr">
        <is>
          <t>0x010</t>
        </is>
      </c>
      <c r="C25" s="111" t="inlineStr">
        <is>
          <t>REG_ENC_CI_CFG0</t>
        </is>
      </c>
      <c r="D25" s="113" t="inlineStr">
        <is>
          <t>0x00000701</t>
        </is>
      </c>
      <c r="E25" s="114" t="inlineStr">
        <is>
          <t>图像格式变化时配置</t>
        </is>
      </c>
      <c r="F25" s="114" t="inlineStr">
        <is>
          <t>CI input type=1(tiled data)，CI alen 默认 7</t>
        </is>
      </c>
    </row>
    <row r="26">
      <c r="A26" s="111" t="inlineStr">
        <is>
          <t>4</t>
        </is>
      </c>
      <c r="B26" s="113" t="inlineStr">
        <is>
          <t>0x020</t>
        </is>
      </c>
      <c r="C26" s="111" t="inlineStr">
        <is>
          <t>REG_OTF_CFG0</t>
        </is>
      </c>
      <c r="D26" s="113">
        <f>'UBWC寄存器配置'!Y11</f>
        <v/>
      </c>
      <c r="E26" s="114" t="inlineStr">
        <is>
          <t>图像格式变化时配置</t>
        </is>
      </c>
      <c r="F26" s="114" t="inlineStr">
        <is>
          <t>ENC OTF 输入 format</t>
        </is>
      </c>
    </row>
    <row r="27">
      <c r="A27" s="111" t="inlineStr">
        <is>
          <t>5</t>
        </is>
      </c>
      <c r="B27" s="113" t="inlineStr">
        <is>
          <t>0x024</t>
        </is>
      </c>
      <c r="C27" s="111" t="inlineStr">
        <is>
          <t>REG_OTF_CFG1</t>
        </is>
      </c>
      <c r="D27" s="113">
        <f>'UBWC寄存器配置'!Z11</f>
        <v/>
      </c>
      <c r="E27" s="114" t="inlineStr">
        <is>
          <t>图像尺寸变化时配置</t>
        </is>
      </c>
      <c r="F27" s="114" t="inlineStr">
        <is>
          <t>ENC OTF 输入 width/height；若总览选择 padding，则这里用 padding W/H</t>
        </is>
      </c>
    </row>
    <row r="28">
      <c r="A28" s="111" t="inlineStr">
        <is>
          <t>6</t>
        </is>
      </c>
      <c r="B28" s="113" t="inlineStr">
        <is>
          <t>0x028</t>
        </is>
      </c>
      <c r="C28" s="111" t="inlineStr">
        <is>
          <t>REG_OTF_CFG2</t>
        </is>
      </c>
      <c r="D28" s="113">
        <f>'UBWC寄存器配置'!AA11</f>
        <v/>
      </c>
      <c r="E28" s="114" t="inlineStr">
        <is>
          <t>图像格式变化时配置</t>
        </is>
      </c>
      <c r="F28" s="114" t="inlineStr">
        <is>
          <t>tile_w/tile_h</t>
        </is>
      </c>
    </row>
    <row r="29">
      <c r="A29" s="111" t="inlineStr">
        <is>
          <t>7</t>
        </is>
      </c>
      <c r="B29" s="113" t="inlineStr">
        <is>
          <t>0x02C</t>
        </is>
      </c>
      <c r="C29" s="111" t="inlineStr">
        <is>
          <t>REG_OTF_CFG3</t>
        </is>
      </c>
      <c r="D29" s="113">
        <f>'UBWC寄存器配置'!AB11</f>
        <v/>
      </c>
      <c r="E29" s="114" t="inlineStr">
        <is>
          <t>图像尺寸变化时配置</t>
        </is>
      </c>
      <c r="F29" s="114" t="inlineStr">
        <is>
          <t>Y/UV tile cols；RGBA 的 UV 侧为 0</t>
        </is>
      </c>
    </row>
    <row r="30">
      <c r="A30" s="111" t="inlineStr">
        <is>
          <t>8</t>
        </is>
      </c>
      <c r="B30" s="113" t="inlineStr">
        <is>
          <t>0x050</t>
        </is>
      </c>
      <c r="C30" s="111" t="inlineStr">
        <is>
          <t>REG_META_ACTIVE_SIZE</t>
        </is>
      </c>
      <c r="D30" s="113">
        <f>'UBWC寄存器配置'!AC11</f>
        <v/>
      </c>
      <c r="E30" s="114" t="inlineStr">
        <is>
          <t>图像有效尺寸变化时配置</t>
        </is>
      </c>
      <c r="F30" s="114" t="inlineStr">
        <is>
          <t>真实 active W/H，不使用 padding W/H</t>
        </is>
      </c>
    </row>
    <row r="31">
      <c r="A31" s="111" t="inlineStr">
        <is>
          <t>9</t>
        </is>
      </c>
      <c r="B31" s="113" t="inlineStr">
        <is>
          <t>0x054</t>
        </is>
      </c>
      <c r="C31" s="111" t="inlineStr">
        <is>
          <t>REG_META_PITCH</t>
        </is>
      </c>
      <c r="D31" s="113">
        <f>'UBWC寄存器配置'!AD11</f>
        <v/>
      </c>
      <c r="E31" s="114" t="inlineStr">
        <is>
          <t>图像尺寸变化时配置</t>
        </is>
      </c>
      <c r="F31" s="114" t="inlineStr">
        <is>
          <t>metadata plane pitch</t>
        </is>
      </c>
    </row>
    <row r="32">
      <c r="A32" s="111" t="inlineStr">
        <is>
          <t>10</t>
        </is>
      </c>
      <c r="B32" s="113" t="inlineStr">
        <is>
          <t>0x060</t>
        </is>
      </c>
      <c r="C32" s="111" t="inlineStr">
        <is>
          <t>REG_IRQ_CTRL</t>
        </is>
      </c>
      <c r="D32" s="113" t="inlineStr">
        <is>
          <t>0x00000001</t>
        </is>
      </c>
      <c r="E32" s="114" t="inlineStr">
        <is>
          <t>上电后或中断策略变化时配置</t>
        </is>
      </c>
      <c r="F32" s="114" t="inlineStr">
        <is>
          <t>bit0 irq_enable=1；bit6 可按需配置 vsync reset enable</t>
        </is>
      </c>
    </row>
    <row r="33"/>
    <row r="34" ht="22" customHeight="1" s="73">
      <c r="A34" s="112" t="inlineStr">
        <is>
          <t>3. ENC 每帧地址与启动</t>
        </is>
      </c>
      <c r="B34" s="112" t="n"/>
      <c r="C34" s="112" t="n"/>
      <c r="D34" s="112" t="n"/>
      <c r="E34" s="112" t="n"/>
      <c r="F34" s="112" t="n"/>
    </row>
    <row r="35">
      <c r="A35" s="115" t="inlineStr">
        <is>
          <t>步骤</t>
        </is>
      </c>
      <c r="B35" s="115" t="inlineStr">
        <is>
          <t>地址</t>
        </is>
      </c>
      <c r="C35" s="115" t="inlineStr">
        <is>
          <t>寄存器/字段</t>
        </is>
      </c>
      <c r="D35" s="115" t="inlineStr">
        <is>
          <t>写入值</t>
        </is>
      </c>
      <c r="E35" s="115" t="inlineStr">
        <is>
          <t>配置频率</t>
        </is>
      </c>
      <c r="F35" s="115" t="inlineStr">
        <is>
          <t>说明</t>
        </is>
      </c>
    </row>
    <row r="36">
      <c r="A36" s="111" t="inlineStr">
        <is>
          <t>1</t>
        </is>
      </c>
      <c r="B36" s="113" t="inlineStr">
        <is>
          <t>0x030</t>
        </is>
      </c>
      <c r="C36" s="111" t="inlineStr">
        <is>
          <t>REG_META_BASE_Y_LO</t>
        </is>
      </c>
      <c r="D36" s="113" t="inlineStr">
        <is>
          <t>&lt;meta_y_base[31:0]&gt;</t>
        </is>
      </c>
      <c r="E36" s="114" t="inlineStr">
        <is>
          <t>每帧配置</t>
        </is>
      </c>
      <c r="F36" s="114" t="inlineStr">
        <is>
          <t>压缩后 Y/RGBA metadata 存储基地址低 32 bit</t>
        </is>
      </c>
    </row>
    <row r="37">
      <c r="A37" s="111" t="inlineStr">
        <is>
          <t>2</t>
        </is>
      </c>
      <c r="B37" s="113" t="inlineStr">
        <is>
          <t>0x034</t>
        </is>
      </c>
      <c r="C37" s="111" t="inlineStr">
        <is>
          <t>REG_META_BASE_Y_HI</t>
        </is>
      </c>
      <c r="D37" s="113" t="inlineStr">
        <is>
          <t>&lt;meta_y_base[63:32]&gt;</t>
        </is>
      </c>
      <c r="E37" s="114" t="inlineStr">
        <is>
          <t>每帧配置</t>
        </is>
      </c>
      <c r="F37" s="114" t="inlineStr">
        <is>
          <t>压缩后 Y/RGBA metadata 存储基地址高 32 bit</t>
        </is>
      </c>
    </row>
    <row r="38">
      <c r="A38" s="111" t="inlineStr">
        <is>
          <t>3</t>
        </is>
      </c>
      <c r="B38" s="113" t="inlineStr">
        <is>
          <t>0x038</t>
        </is>
      </c>
      <c r="C38" s="111" t="inlineStr">
        <is>
          <t>REG_TILE_BASE_Y_LO</t>
        </is>
      </c>
      <c r="D38" s="113" t="inlineStr">
        <is>
          <t>&lt;tile_y_base[31:0]&gt;</t>
        </is>
      </c>
      <c r="E38" s="114" t="inlineStr">
        <is>
          <t>每帧配置</t>
        </is>
      </c>
      <c r="F38" s="114" t="inlineStr">
        <is>
          <t>压缩后 Y/RGBA tile 数据存储基地址低 32 bit</t>
        </is>
      </c>
    </row>
    <row r="39">
      <c r="A39" s="111" t="inlineStr">
        <is>
          <t>4</t>
        </is>
      </c>
      <c r="B39" s="113" t="inlineStr">
        <is>
          <t>0x03C</t>
        </is>
      </c>
      <c r="C39" s="111" t="inlineStr">
        <is>
          <t>REG_TILE_BASE_Y_HI</t>
        </is>
      </c>
      <c r="D39" s="113" t="inlineStr">
        <is>
          <t>&lt;tile_y_base[63:32]&gt;</t>
        </is>
      </c>
      <c r="E39" s="114" t="inlineStr">
        <is>
          <t>每帧配置</t>
        </is>
      </c>
      <c r="F39" s="114" t="inlineStr">
        <is>
          <t>压缩后 Y/RGBA tile 数据存储基地址高 32 bit</t>
        </is>
      </c>
    </row>
    <row r="40">
      <c r="A40" s="111" t="inlineStr">
        <is>
          <t>5</t>
        </is>
      </c>
      <c r="B40" s="113" t="inlineStr">
        <is>
          <t>0x040</t>
        </is>
      </c>
      <c r="C40" s="111" t="inlineStr">
        <is>
          <t>REG_META_BASE_UV_LO</t>
        </is>
      </c>
      <c r="D40" s="113" t="inlineStr">
        <is>
          <t>&lt;meta_uv_base[31:0]&gt;</t>
        </is>
      </c>
      <c r="E40" s="114" t="inlineStr">
        <is>
          <t>每帧配置</t>
        </is>
      </c>
      <c r="F40" s="114" t="inlineStr">
        <is>
          <t>UV metadata 存储基地址低 32 bit；RGBA 可写 0</t>
        </is>
      </c>
    </row>
    <row r="41">
      <c r="A41" s="111" t="inlineStr">
        <is>
          <t>6</t>
        </is>
      </c>
      <c r="B41" s="113" t="inlineStr">
        <is>
          <t>0x044</t>
        </is>
      </c>
      <c r="C41" s="111" t="inlineStr">
        <is>
          <t>REG_META_BASE_UV_HI</t>
        </is>
      </c>
      <c r="D41" s="113" t="inlineStr">
        <is>
          <t>&lt;meta_uv_base[63:32]&gt;</t>
        </is>
      </c>
      <c r="E41" s="114" t="inlineStr">
        <is>
          <t>每帧配置</t>
        </is>
      </c>
      <c r="F41" s="114" t="inlineStr">
        <is>
          <t>UV metadata 存储基地址高 32 bit；RGBA 可写 0</t>
        </is>
      </c>
    </row>
    <row r="42">
      <c r="A42" s="111" t="inlineStr">
        <is>
          <t>7</t>
        </is>
      </c>
      <c r="B42" s="113" t="inlineStr">
        <is>
          <t>0x048</t>
        </is>
      </c>
      <c r="C42" s="111" t="inlineStr">
        <is>
          <t>REG_TILE_BASE_UV_LO</t>
        </is>
      </c>
      <c r="D42" s="113" t="inlineStr">
        <is>
          <t>&lt;tile_uv_base[31:0]&gt;</t>
        </is>
      </c>
      <c r="E42" s="114" t="inlineStr">
        <is>
          <t>每帧配置</t>
        </is>
      </c>
      <c r="F42" s="114" t="inlineStr">
        <is>
          <t>UV tile 数据存储基地址低 32 bit；RGBA 可写 0</t>
        </is>
      </c>
    </row>
    <row r="43">
      <c r="A43" s="111" t="inlineStr">
        <is>
          <t>8</t>
        </is>
      </c>
      <c r="B43" s="113" t="inlineStr">
        <is>
          <t>0x04C</t>
        </is>
      </c>
      <c r="C43" s="111" t="inlineStr">
        <is>
          <t>REG_TILE_BASE_UV_HI</t>
        </is>
      </c>
      <c r="D43" s="113" t="inlineStr">
        <is>
          <t>&lt;tile_uv_base[63:32]&gt;</t>
        </is>
      </c>
      <c r="E43" s="114" t="inlineStr">
        <is>
          <t>每帧配置</t>
        </is>
      </c>
      <c r="F43" s="114" t="inlineStr">
        <is>
          <t>UV tile 数据存储基地址高 32 bit；写该 high word 后提交地址组</t>
        </is>
      </c>
    </row>
    <row r="44">
      <c r="A44" s="111" t="inlineStr">
        <is>
          <t>9</t>
        </is>
      </c>
      <c r="B44" s="113" t="inlineStr">
        <is>
          <t>0x060</t>
        </is>
      </c>
      <c r="C44" s="111" t="inlineStr">
        <is>
          <t>REG_IRQ_CTRL[5]</t>
        </is>
      </c>
      <c r="D44" s="113" t="inlineStr">
        <is>
          <t>0x00000020</t>
        </is>
      </c>
      <c r="E44" s="114" t="inlineStr">
        <is>
          <t>每帧配置</t>
        </is>
      </c>
      <c r="F44" s="114" t="inlineStr">
        <is>
          <t>写 start token，启动当前帧地址组</t>
        </is>
      </c>
    </row>
    <row r="45"/>
    <row r="46"/>
    <row r="47" ht="22" customHeight="1" s="73">
      <c r="A47" s="112" t="inlineStr">
        <is>
          <t>4. DEC 静态寄存器配置</t>
        </is>
      </c>
      <c r="B47" s="112" t="n"/>
      <c r="C47" s="112" t="n"/>
      <c r="D47" s="112" t="n"/>
      <c r="E47" s="112" t="n"/>
      <c r="F47" s="112" t="n"/>
    </row>
    <row r="48">
      <c r="A48" s="107" t="inlineStr">
        <is>
          <t>步骤</t>
        </is>
      </c>
      <c r="B48" s="107" t="inlineStr">
        <is>
          <t>地址</t>
        </is>
      </c>
      <c r="C48" s="107" t="inlineStr">
        <is>
          <t>寄存器</t>
        </is>
      </c>
      <c r="D48" s="107" t="inlineStr">
        <is>
          <t>写入值</t>
        </is>
      </c>
      <c r="E48" s="107" t="inlineStr">
        <is>
          <t>配置频率</t>
        </is>
      </c>
      <c r="F48" s="107" t="inlineStr">
        <is>
          <t>说明</t>
        </is>
      </c>
    </row>
    <row r="49">
      <c r="A49" s="111" t="inlineStr">
        <is>
          <t>1</t>
        </is>
      </c>
      <c r="B49" s="113" t="inlineStr">
        <is>
          <t>0x008</t>
        </is>
      </c>
      <c r="C49" s="111" t="inlineStr">
        <is>
          <t>APB_ADDR_TILE_CFG0</t>
        </is>
      </c>
      <c r="D49" s="113">
        <f>'UBWC寄存器配置'!AM11</f>
        <v/>
      </c>
      <c r="E49" s="114" t="inlineStr">
        <is>
          <t>图像格式变化时配置</t>
        </is>
      </c>
      <c r="F49" s="114" t="inlineStr">
        <is>
          <t>bank swizzle/bank spread 等固定建议配置</t>
        </is>
      </c>
    </row>
    <row r="50">
      <c r="A50" s="111" t="inlineStr">
        <is>
          <t>2</t>
        </is>
      </c>
      <c r="B50" s="113" t="inlineStr">
        <is>
          <t>0x00C</t>
        </is>
      </c>
      <c r="C50" s="111" t="inlineStr">
        <is>
          <t>APB_ADDR_TILE_CFG1</t>
        </is>
      </c>
      <c r="D50" s="113">
        <f>'UBWC寄存器配置'!AE11</f>
        <v/>
      </c>
      <c r="E50" s="114" t="inlineStr">
        <is>
          <t>图像尺寸变化时配置</t>
        </is>
      </c>
      <c r="F50" s="114" t="inlineStr">
        <is>
          <t>tile pitch</t>
        </is>
      </c>
    </row>
    <row r="51">
      <c r="A51" s="111" t="inlineStr">
        <is>
          <t>3</t>
        </is>
      </c>
      <c r="B51" s="113" t="inlineStr">
        <is>
          <t>0x010</t>
        </is>
      </c>
      <c r="C51" s="111" t="inlineStr">
        <is>
          <t>APB_ADDR_TILE_CFG2</t>
        </is>
      </c>
      <c r="D51" s="113" t="inlineStr">
        <is>
          <t>0x00000001</t>
        </is>
      </c>
      <c r="E51" s="114" t="inlineStr">
        <is>
          <t>图像格式变化时配置</t>
        </is>
      </c>
      <c r="F51" s="114" t="inlineStr">
        <is>
          <t>CI input type=1(tiled data)</t>
        </is>
      </c>
    </row>
    <row r="52">
      <c r="A52" s="111" t="inlineStr">
        <is>
          <t>4</t>
        </is>
      </c>
      <c r="B52" s="113" t="inlineStr">
        <is>
          <t>0x014</t>
        </is>
      </c>
      <c r="C52" s="111" t="inlineStr">
        <is>
          <t>APB_ADDR_VIVO_CFG</t>
        </is>
      </c>
      <c r="D52" s="113" t="inlineStr">
        <is>
          <t>0x00000001</t>
        </is>
      </c>
      <c r="E52" s="114" t="inlineStr">
        <is>
          <t>上电后一次或 reset 策略变化时配置</t>
        </is>
      </c>
      <c r="F52" s="114" t="inlineStr">
        <is>
          <t>VIVO decode enable</t>
        </is>
      </c>
    </row>
    <row r="53">
      <c r="A53" s="111" t="inlineStr">
        <is>
          <t>5</t>
        </is>
      </c>
      <c r="B53" s="113" t="inlineStr">
        <is>
          <t>0x018</t>
        </is>
      </c>
      <c r="C53" s="111" t="inlineStr">
        <is>
          <t>APB_ADDR_OTF_CFG0</t>
        </is>
      </c>
      <c r="D53" s="113">
        <f>'UBWC寄存器配置'!AF11</f>
        <v/>
      </c>
      <c r="E53" s="114" t="inlineStr">
        <is>
          <t>图像格式/active宽度变化时配置</t>
        </is>
      </c>
      <c r="F53" s="114" t="inlineStr">
        <is>
          <t>output OTF format + active image width</t>
        </is>
      </c>
    </row>
    <row r="54">
      <c r="A54" s="111" t="inlineStr">
        <is>
          <t>6</t>
        </is>
      </c>
      <c r="B54" s="113" t="inlineStr">
        <is>
          <t>0x01C</t>
        </is>
      </c>
      <c r="C54" s="111" t="inlineStr">
        <is>
          <t>APB_ADDR_OTF_CFG1</t>
        </is>
      </c>
      <c r="D54" s="113">
        <f>'UBWC寄存器配置'!AG11</f>
        <v/>
      </c>
      <c r="E54" s="114" t="inlineStr">
        <is>
          <t>OTF timing 变化时配置</t>
        </is>
      </c>
      <c r="F54" s="114" t="inlineStr">
        <is>
          <t>H_TOTAL/H_SYNC；示例按 active width 填最小 timing</t>
        </is>
      </c>
    </row>
    <row r="55">
      <c r="A55" s="111" t="inlineStr">
        <is>
          <t>7</t>
        </is>
      </c>
      <c r="B55" s="113" t="inlineStr">
        <is>
          <t>0x020</t>
        </is>
      </c>
      <c r="C55" s="111" t="inlineStr">
        <is>
          <t>APB_ADDR_OTF_CFG2</t>
        </is>
      </c>
      <c r="D55" s="113">
        <f>'UBWC寄存器配置'!AH11</f>
        <v/>
      </c>
      <c r="E55" s="114" t="inlineStr">
        <is>
          <t>OTF timing 变化时配置</t>
        </is>
      </c>
      <c r="F55" s="114" t="inlineStr">
        <is>
          <t>H_BP/H_ACT；H_ACT 使用 active width</t>
        </is>
      </c>
    </row>
    <row r="56">
      <c r="A56" s="111" t="inlineStr">
        <is>
          <t>8</t>
        </is>
      </c>
      <c r="B56" s="113" t="inlineStr">
        <is>
          <t>0x024</t>
        </is>
      </c>
      <c r="C56" s="111" t="inlineStr">
        <is>
          <t>APB_ADDR_OTF_CFG3</t>
        </is>
      </c>
      <c r="D56" s="113">
        <f>'UBWC寄存器配置'!AI11</f>
        <v/>
      </c>
      <c r="E56" s="114" t="inlineStr">
        <is>
          <t>OTF timing 变化时配置</t>
        </is>
      </c>
      <c r="F56" s="114" t="inlineStr">
        <is>
          <t>V_TOTAL/V_SYNC；示例按 active height 填最小 timing</t>
        </is>
      </c>
    </row>
    <row r="57">
      <c r="A57" s="111" t="inlineStr">
        <is>
          <t>9</t>
        </is>
      </c>
      <c r="B57" s="113" t="inlineStr">
        <is>
          <t>0x028</t>
        </is>
      </c>
      <c r="C57" s="111" t="inlineStr">
        <is>
          <t>APB_ADDR_OTF_CFG4</t>
        </is>
      </c>
      <c r="D57" s="113">
        <f>'UBWC寄存器配置'!AJ11</f>
        <v/>
      </c>
      <c r="E57" s="114" t="inlineStr">
        <is>
          <t>OTF timing 变化时配置</t>
        </is>
      </c>
      <c r="F57" s="114" t="inlineStr">
        <is>
          <t>V_BP/V_ACT；V_ACT 使用 active height，不用 stored_h</t>
        </is>
      </c>
    </row>
    <row r="58">
      <c r="A58" s="111" t="inlineStr">
        <is>
          <t>10</t>
        </is>
      </c>
      <c r="B58" s="113" t="inlineStr">
        <is>
          <t>0x02C</t>
        </is>
      </c>
      <c r="C58" s="111" t="inlineStr">
        <is>
          <t>APB_ADDR_META_CFG0</t>
        </is>
      </c>
      <c r="D58" s="113">
        <f>'UBWC寄存器配置'!AK11</f>
        <v/>
      </c>
      <c r="E58" s="114" t="inlineStr">
        <is>
          <t>图像尺寸变化时配置</t>
        </is>
      </c>
      <c r="F58" s="114" t="inlineStr">
        <is>
          <t>metadata tile_x/tile_y count，使用 stored/layout tile rows</t>
        </is>
      </c>
    </row>
    <row r="59">
      <c r="A59" s="111" t="inlineStr">
        <is>
          <t>11</t>
        </is>
      </c>
      <c r="B59" s="113" t="inlineStr">
        <is>
          <t>0x060</t>
        </is>
      </c>
      <c r="C59" s="111" t="inlineStr">
        <is>
          <t>APB_ADDR_IRQ_CTRL</t>
        </is>
      </c>
      <c r="D59" s="113" t="inlineStr">
        <is>
          <t>0x00000001</t>
        </is>
      </c>
      <c r="E59" s="114" t="inlineStr">
        <is>
          <t>上电后或中断策略变化时配置</t>
        </is>
      </c>
      <c r="F59" s="114" t="inlineStr">
        <is>
          <t>bit0 irq_enable=1</t>
        </is>
      </c>
    </row>
    <row r="60"/>
    <row r="61"/>
    <row r="62" ht="22" customHeight="1" s="73">
      <c r="A62" s="112" t="inlineStr">
        <is>
          <t>5. DEC 每帧地址与启动</t>
        </is>
      </c>
      <c r="B62" s="112" t="n"/>
      <c r="C62" s="112" t="n"/>
      <c r="D62" s="112" t="n"/>
      <c r="E62" s="112" t="n"/>
      <c r="F62" s="112" t="n"/>
    </row>
    <row r="63">
      <c r="A63" s="115" t="inlineStr">
        <is>
          <t>步骤</t>
        </is>
      </c>
      <c r="B63" s="115" t="inlineStr">
        <is>
          <t>地址</t>
        </is>
      </c>
      <c r="C63" s="115" t="inlineStr">
        <is>
          <t>寄存器/字段</t>
        </is>
      </c>
      <c r="D63" s="115" t="inlineStr">
        <is>
          <t>写入值</t>
        </is>
      </c>
      <c r="E63" s="115" t="inlineStr">
        <is>
          <t>配置频率</t>
        </is>
      </c>
      <c r="F63" s="115" t="inlineStr">
        <is>
          <t>说明</t>
        </is>
      </c>
    </row>
    <row r="64">
      <c r="A64" s="111" t="inlineStr">
        <is>
          <t>1</t>
        </is>
      </c>
      <c r="B64" s="113" t="inlineStr">
        <is>
          <t>0x030</t>
        </is>
      </c>
      <c r="C64" s="111" t="inlineStr">
        <is>
          <t>REG_META_BASE_Y_LO</t>
        </is>
      </c>
      <c r="D64" s="113" t="inlineStr">
        <is>
          <t>&lt;meta_y_base[31:0]&gt;</t>
        </is>
      </c>
      <c r="E64" s="114" t="inlineStr">
        <is>
          <t>每帧配置</t>
        </is>
      </c>
      <c r="F64" s="114" t="inlineStr">
        <is>
          <t>输入 UBWC Y/RGBA metadata 读取基地址低 32 bit</t>
        </is>
      </c>
    </row>
    <row r="65">
      <c r="A65" s="111" t="inlineStr">
        <is>
          <t>2</t>
        </is>
      </c>
      <c r="B65" s="113" t="inlineStr">
        <is>
          <t>0x034</t>
        </is>
      </c>
      <c r="C65" s="111" t="inlineStr">
        <is>
          <t>REG_META_BASE_Y_HI</t>
        </is>
      </c>
      <c r="D65" s="113" t="inlineStr">
        <is>
          <t>&lt;meta_y_base[63:32]&gt;</t>
        </is>
      </c>
      <c r="E65" s="114" t="inlineStr">
        <is>
          <t>每帧配置</t>
        </is>
      </c>
      <c r="F65" s="114" t="inlineStr">
        <is>
          <t>输入 UBWC Y/RGBA metadata 读取基地址高 32 bit</t>
        </is>
      </c>
    </row>
    <row r="66">
      <c r="A66" s="111" t="inlineStr">
        <is>
          <t>3</t>
        </is>
      </c>
      <c r="B66" s="113" t="inlineStr">
        <is>
          <t>0x038</t>
        </is>
      </c>
      <c r="C66" s="111" t="inlineStr">
        <is>
          <t>REG_TILE_BASE_Y_LO</t>
        </is>
      </c>
      <c r="D66" s="113" t="inlineStr">
        <is>
          <t>&lt;tile_y_base[31:0]&gt;</t>
        </is>
      </c>
      <c r="E66" s="114" t="inlineStr">
        <is>
          <t>每帧配置</t>
        </is>
      </c>
      <c r="F66" s="114" t="inlineStr">
        <is>
          <t>输入 UBWC Y/RGBA tile 数据读取基地址低 32 bit</t>
        </is>
      </c>
    </row>
    <row r="67">
      <c r="A67" s="111" t="inlineStr">
        <is>
          <t>4</t>
        </is>
      </c>
      <c r="B67" s="113" t="inlineStr">
        <is>
          <t>0x03C</t>
        </is>
      </c>
      <c r="C67" s="111" t="inlineStr">
        <is>
          <t>REG_TILE_BASE_Y_HI</t>
        </is>
      </c>
      <c r="D67" s="113" t="inlineStr">
        <is>
          <t>&lt;tile_y_base[63:32]&gt;</t>
        </is>
      </c>
      <c r="E67" s="114" t="inlineStr">
        <is>
          <t>每帧配置</t>
        </is>
      </c>
      <c r="F67" s="114" t="inlineStr">
        <is>
          <t>输入 UBWC Y/RGBA tile 数据读取基地址高 32 bit</t>
        </is>
      </c>
    </row>
    <row r="68">
      <c r="A68" s="111" t="inlineStr">
        <is>
          <t>5</t>
        </is>
      </c>
      <c r="B68" s="113" t="inlineStr">
        <is>
          <t>0x040</t>
        </is>
      </c>
      <c r="C68" s="111" t="inlineStr">
        <is>
          <t>REG_META_BASE_UV_LO</t>
        </is>
      </c>
      <c r="D68" s="113" t="inlineStr">
        <is>
          <t>&lt;meta_uv_base[31:0]&gt;</t>
        </is>
      </c>
      <c r="E68" s="114" t="inlineStr">
        <is>
          <t>每帧配置</t>
        </is>
      </c>
      <c r="F68" s="114" t="inlineStr">
        <is>
          <t>输入 UBWC UV metadata 读取基地址低 32 bit；RGBA 可写 0</t>
        </is>
      </c>
    </row>
    <row r="69">
      <c r="A69" s="111" t="inlineStr">
        <is>
          <t>6</t>
        </is>
      </c>
      <c r="B69" s="113" t="inlineStr">
        <is>
          <t>0x044</t>
        </is>
      </c>
      <c r="C69" s="111" t="inlineStr">
        <is>
          <t>REG_META_BASE_UV_HI</t>
        </is>
      </c>
      <c r="D69" s="113" t="inlineStr">
        <is>
          <t>&lt;meta_uv_base[63:32]&gt;</t>
        </is>
      </c>
      <c r="E69" s="114" t="inlineStr">
        <is>
          <t>每帧配置</t>
        </is>
      </c>
      <c r="F69" s="114" t="inlineStr">
        <is>
          <t>输入 UBWC UV metadata 读取基地址高 32 bit；RGBA 可写 0</t>
        </is>
      </c>
    </row>
    <row r="70">
      <c r="A70" s="111" t="inlineStr">
        <is>
          <t>7</t>
        </is>
      </c>
      <c r="B70" s="113" t="inlineStr">
        <is>
          <t>0x048</t>
        </is>
      </c>
      <c r="C70" s="111" t="inlineStr">
        <is>
          <t>REG_TILE_BASE_UV_LO</t>
        </is>
      </c>
      <c r="D70" s="113" t="inlineStr">
        <is>
          <t>&lt;tile_uv_base[31:0]&gt;</t>
        </is>
      </c>
      <c r="E70" s="114" t="inlineStr">
        <is>
          <t>每帧配置</t>
        </is>
      </c>
      <c r="F70" s="114" t="inlineStr">
        <is>
          <t>输入 UBWC UV tile 数据读取基地址低 32 bit；RGBA 可写 0</t>
        </is>
      </c>
    </row>
    <row r="71">
      <c r="A71" s="111" t="inlineStr">
        <is>
          <t>8</t>
        </is>
      </c>
      <c r="B71" s="113" t="inlineStr">
        <is>
          <t>0x04C</t>
        </is>
      </c>
      <c r="C71" s="111" t="inlineStr">
        <is>
          <t>REG_TILE_BASE_UV_HI</t>
        </is>
      </c>
      <c r="D71" s="113" t="inlineStr">
        <is>
          <t>&lt;tile_uv_base[63:32]&gt;</t>
        </is>
      </c>
      <c r="E71" s="114" t="inlineStr">
        <is>
          <t>每帧配置</t>
        </is>
      </c>
      <c r="F71" s="114" t="inlineStr">
        <is>
          <t>输入 UBWC UV tile 数据读取基地址高 32 bit；完整地址组写完后等待 start</t>
        </is>
      </c>
    </row>
    <row r="72">
      <c r="A72" s="111" t="inlineStr">
        <is>
          <t>9</t>
        </is>
      </c>
      <c r="B72" s="113" t="inlineStr">
        <is>
          <t>0x060</t>
        </is>
      </c>
      <c r="C72" s="111" t="inlineStr">
        <is>
          <t>APB_ADDR_IRQ_CTRL[5]</t>
        </is>
      </c>
      <c r="D72" s="113" t="inlineStr">
        <is>
          <t>0x00000020</t>
        </is>
      </c>
      <c r="E72" s="114" t="inlineStr">
        <is>
          <t>每帧配置</t>
        </is>
      </c>
      <c r="F72" s="114" t="inlineStr">
        <is>
          <t>写 start token；地址组和 start token 都有效后启动 decode</t>
        </is>
      </c>
    </row>
    <row r="73"/>
    <row r="74"/>
    <row r="75" ht="22" customHeight="1" s="73">
      <c r="A75" s="112" t="inlineStr">
        <is>
          <t>6. 计算说明</t>
        </is>
      </c>
      <c r="B75" s="112" t="n"/>
      <c r="C75" s="112" t="n"/>
      <c r="D75" s="112" t="n"/>
      <c r="E75" s="112" t="n"/>
      <c r="F75" s="112" t="n"/>
    </row>
    <row r="76">
      <c r="A76" s="116" t="inlineStr">
        <is>
          <t>项目</t>
        </is>
      </c>
      <c r="B76" s="116" t="inlineStr">
        <is>
          <t>公式/来源</t>
        </is>
      </c>
      <c r="C76" s="116" t="inlineStr">
        <is>
          <t>说明</t>
        </is>
      </c>
    </row>
    <row r="77">
      <c r="A77" s="111" t="inlineStr">
        <is>
          <t>active_W/H</t>
        </is>
      </c>
      <c r="B77" s="113" t="inlineStr">
        <is>
          <t>原图真实有效宽高</t>
        </is>
      </c>
      <c r="C77" s="111" t="inlineStr">
        <is>
          <t>软件可见图像有效范围；ENC META_ACTIVE_SIZE 和 DEC OTF H_ACT/V_ACT 使用该值。</t>
        </is>
      </c>
    </row>
    <row r="78">
      <c r="A78" s="111" t="inlineStr">
        <is>
          <t>stored_W</t>
        </is>
      </c>
      <c r="B78" s="113">
        <f> max(原表 padding_W, ceil(active_W, tile_w*4))</f>
        <v/>
      </c>
      <c r="C78" s="111" t="inlineStr">
        <is>
          <t>用于 UBWC tile/meta/layout；不是 DEC OTF 输出有效宽度。</t>
        </is>
      </c>
    </row>
    <row r="79">
      <c r="A79" s="111" t="inlineStr">
        <is>
          <t>stored_H</t>
        </is>
      </c>
      <c r="B79" s="113">
        <f> max(原表 padding_H, ceil(active_H, tile_h*4))</f>
        <v/>
      </c>
      <c r="C79" s="111" t="inlineStr">
        <is>
          <t>用于 UBWC tile/meta/layout；不是 DEC OTF 输出有效高度。</t>
        </is>
      </c>
    </row>
    <row r="80">
      <c r="A80" s="111" t="inlineStr">
        <is>
          <t>Y_tile_cols</t>
        </is>
      </c>
      <c r="B80" s="113">
        <f> stored_W / tile_w</f>
        <v/>
      </c>
      <c r="C80" s="111" t="inlineStr">
        <is>
          <t>RGBA/Y plane 横向 tile 数。</t>
        </is>
      </c>
    </row>
    <row r="81">
      <c r="A81" s="111" t="inlineStr">
        <is>
          <t>Y_tile_rows</t>
        </is>
      </c>
      <c r="B81" s="113">
        <f> stored_H / tile_h</f>
        <v/>
      </c>
      <c r="C81" s="111" t="inlineStr">
        <is>
          <t>RGBA/Y plane 纵向 tile 数。</t>
        </is>
      </c>
    </row>
    <row r="82">
      <c r="A82" s="111" t="inlineStr">
        <is>
          <t>meta_pitch</t>
        </is>
      </c>
      <c r="B82" s="113">
        <f> ceil(Y_tile_cols, 64)</f>
        <v/>
      </c>
      <c r="C82" s="111" t="inlineStr">
        <is>
          <t>metadata pitch 按 64B 对齐。</t>
        </is>
      </c>
    </row>
    <row r="83">
      <c r="A83" s="111" t="inlineStr">
        <is>
          <t>tile_pitch</t>
        </is>
      </c>
      <c r="B83" s="113">
        <f> stored_W * bpp / 16</f>
        <v/>
      </c>
      <c r="C83" s="111" t="inlineStr">
        <is>
          <t>本表按 RTL 当前寄存器语义生成配置值。</t>
        </is>
      </c>
    </row>
    <row r="84">
      <c r="A84" s="111" t="inlineStr">
        <is>
          <t>DEC p_v_act / V_ACT</t>
        </is>
      </c>
      <c r="B84" s="113">
        <f> active_H</f>
        <v/>
      </c>
      <c r="C84" s="111" t="inlineStr">
        <is>
          <t>不要填 stored_H；padding 行只属于存储/layout，不属于最终 OTF 有效输出。</t>
        </is>
      </c>
    </row>
  </sheetData>
  <mergeCells count="8">
    <mergeCell ref="A47:F47"/>
    <mergeCell ref="B2:F2"/>
    <mergeCell ref="A1:F1"/>
    <mergeCell ref="A5:F5"/>
    <mergeCell ref="A75:F75"/>
    <mergeCell ref="A34:F34"/>
    <mergeCell ref="A62:F62"/>
    <mergeCell ref="A21:F21"/>
  </mergeCells>
  <hyperlinks>
    <hyperlink xmlns:r="http://schemas.openxmlformats.org/officeDocument/2006/relationships" ref="B3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73" min="1" max="1"/>
    <col width="18" customWidth="1" style="73" min="2" max="2"/>
    <col width="18" customWidth="1" style="73" min="3" max="3"/>
    <col width="20" customWidth="1" style="73" min="4" max="4"/>
    <col width="44" customWidth="1" style="73" min="5" max="5"/>
    <col width="56" customWidth="1" style="73" min="6" max="6"/>
  </cols>
  <sheetData>
    <row r="1" ht="28" customHeight="1" s="73">
      <c r="A1" s="109" t="inlineStr">
        <is>
          <t>UBWC case04 寄存器配置</t>
        </is>
      </c>
      <c r="B1" s="109" t="n"/>
      <c r="C1" s="109" t="n"/>
      <c r="D1" s="109" t="n"/>
      <c r="E1" s="109" t="n"/>
      <c r="F1" s="109" t="n"/>
    </row>
    <row r="2" ht="34" customHeight="1" s="73">
      <c r="A2" s="110" t="inlineStr">
        <is>
          <t>说明</t>
        </is>
      </c>
      <c r="B2" s="110" t="inlineStr">
        <is>
          <t>本页所有关键值引用总览页；如需改格式或是否使用 padding，请优先修改总览页对应行。Excel 打开后会自动重算公式。</t>
        </is>
      </c>
      <c r="C2" s="110" t="n"/>
      <c r="D2" s="110" t="n"/>
      <c r="E2" s="110" t="n"/>
      <c r="F2" s="110" t="n"/>
    </row>
    <row r="3">
      <c r="A3" s="111" t="inlineStr">
        <is>
          <t>返回总览</t>
        </is>
      </c>
      <c r="B3" s="111" t="inlineStr">
        <is>
          <t>UBWC寄存器配置</t>
        </is>
      </c>
      <c r="C3" s="111" t="n"/>
      <c r="D3" s="111" t="n"/>
      <c r="E3" s="111" t="n"/>
      <c r="F3" s="111" t="n"/>
    </row>
    <row r="4"/>
    <row r="5" ht="22" customHeight="1" s="73">
      <c r="A5" s="112" t="inlineStr">
        <is>
          <t>1. 输入参数与派生尺寸</t>
        </is>
      </c>
      <c r="B5" s="112" t="n"/>
      <c r="C5" s="112" t="n"/>
      <c r="D5" s="112" t="n"/>
      <c r="E5" s="112" t="n"/>
      <c r="F5" s="112" t="n"/>
    </row>
    <row r="6">
      <c r="A6" s="107" t="inlineStr">
        <is>
          <t>字段</t>
        </is>
      </c>
      <c r="B6" s="107" t="inlineStr">
        <is>
          <t>值</t>
        </is>
      </c>
      <c r="C6" s="107" t="inlineStr">
        <is>
          <t>说明</t>
        </is>
      </c>
    </row>
    <row r="7">
      <c r="A7" s="111" t="inlineStr">
        <is>
          <t>Case ID</t>
        </is>
      </c>
      <c r="B7" s="113">
        <f>'UBWC寄存器配置'!A12</f>
        <v/>
      </c>
      <c r="C7" s="111" t="inlineStr">
        <is>
          <t>原始 case 编号</t>
        </is>
      </c>
    </row>
    <row r="8">
      <c r="A8" s="111" t="inlineStr">
        <is>
          <t>Use case</t>
        </is>
      </c>
      <c r="B8" s="113">
        <f>'UBWC寄存器配置'!B12</f>
        <v/>
      </c>
      <c r="C8" s="111" t="inlineStr">
        <is>
          <t>原表用途</t>
        </is>
      </c>
    </row>
    <row r="9">
      <c r="A9" s="111" t="inlineStr">
        <is>
          <t>格式</t>
        </is>
      </c>
      <c r="B9" s="113">
        <f>'UBWC寄存器配置'!E12</f>
        <v/>
      </c>
      <c r="C9" s="111" t="inlineStr">
        <is>
          <t>当前配置格式；总览页可下拉修改</t>
        </is>
      </c>
    </row>
    <row r="10">
      <c r="A10" s="111" t="inlineStr">
        <is>
          <t>format_code</t>
        </is>
      </c>
      <c r="B10" s="113">
        <f>'UBWC寄存器配置'!F12</f>
        <v/>
      </c>
      <c r="C10" s="111" t="inlineStr">
        <is>
          <t>写入 OTF/format 字段的格式码</t>
        </is>
      </c>
    </row>
    <row r="11">
      <c r="A11" s="111" t="inlineStr">
        <is>
          <t>原图 W/H</t>
        </is>
      </c>
      <c r="B11" s="113">
        <f>'UBWC寄存器配置'!C12&amp;" x "&amp;'UBWC寄存器配置'!D12</f>
        <v/>
      </c>
      <c r="C11" s="111" t="inlineStr">
        <is>
          <t>真实有效图像尺寸</t>
        </is>
      </c>
    </row>
    <row r="12">
      <c r="A12" s="111" t="inlineStr">
        <is>
          <t>active W/H</t>
        </is>
      </c>
      <c r="B12" s="113">
        <f>'UBWC寄存器配置'!O12&amp;" x "&amp;'UBWC寄存器配置'!P12</f>
        <v/>
      </c>
      <c r="C12" s="111" t="inlineStr">
        <is>
          <t>ENC META_ACTIVE_SIZE / DEC OTF active 使用</t>
        </is>
      </c>
    </row>
    <row r="13">
      <c r="A13" s="111" t="inlineStr">
        <is>
          <t>stored W/H</t>
        </is>
      </c>
      <c r="B13" s="113">
        <f>'UBWC寄存器配置'!Q12&amp;" x "&amp;'UBWC寄存器配置'!R12</f>
        <v/>
      </c>
      <c r="C13" s="111" t="inlineStr">
        <is>
          <t>UBWC layout/tile/meta 使用的对齐后尺寸</t>
        </is>
      </c>
    </row>
    <row r="14">
      <c r="A14" s="111" t="inlineStr">
        <is>
          <t>ENC OTF W/H</t>
        </is>
      </c>
      <c r="B14" s="113">
        <f>'UBWC寄存器配置'!M12&amp;" x "&amp;'UBWC寄存器配置'!N12</f>
        <v/>
      </c>
      <c r="C14" s="111" t="inlineStr">
        <is>
          <t>ENC 输入流尺寸；默认不使用 padding</t>
        </is>
      </c>
    </row>
    <row r="15">
      <c r="A15" s="111" t="inlineStr">
        <is>
          <t>tile W/H</t>
        </is>
      </c>
      <c r="B15" s="113">
        <f>'UBWC寄存器配置'!G12&amp;" x "&amp;'UBWC寄存器配置'!H12</f>
        <v/>
      </c>
      <c r="C15" s="111" t="inlineStr">
        <is>
          <t>由格式决定</t>
        </is>
      </c>
    </row>
    <row r="16">
      <c r="A16" s="111" t="inlineStr">
        <is>
          <t>Y tile cols/rows</t>
        </is>
      </c>
      <c r="B16" s="113">
        <f>'UBWC寄存器配置'!S12&amp;" x "&amp;'UBWC寄存器配置'!T12</f>
        <v/>
      </c>
      <c r="C16" s="111" t="inlineStr">
        <is>
          <t>Y/RGBA plane tile 数</t>
        </is>
      </c>
    </row>
    <row r="17">
      <c r="A17" s="111" t="inlineStr">
        <is>
          <t>UV tile cols</t>
        </is>
      </c>
      <c r="B17" s="113">
        <f>'UBWC寄存器配置'!U12</f>
        <v/>
      </c>
      <c r="C17" s="111" t="inlineStr">
        <is>
          <t>RGBA 为 0；YUV420 与 Y tile cols 相同</t>
        </is>
      </c>
    </row>
    <row r="18">
      <c r="A18" s="111" t="inlineStr">
        <is>
          <t>meta pitch</t>
        </is>
      </c>
      <c r="B18" s="113">
        <f>'UBWC寄存器配置'!V12</f>
        <v/>
      </c>
      <c r="C18" s="111" t="inlineStr">
        <is>
          <t>metadata pitch，按 64B 对齐</t>
        </is>
      </c>
    </row>
    <row r="19">
      <c r="A19" s="111" t="inlineStr">
        <is>
          <t>tile pitch</t>
        </is>
      </c>
      <c r="B19" s="113">
        <f>'UBWC寄存器配置'!W12</f>
        <v/>
      </c>
      <c r="C19" s="111" t="inlineStr">
        <is>
          <t>压缩 tile plane pitch 配置值</t>
        </is>
      </c>
    </row>
    <row r="20"/>
    <row r="21" ht="22" customHeight="1" s="73">
      <c r="A21" s="112" t="inlineStr">
        <is>
          <t>2. ENC 静态寄存器配置</t>
        </is>
      </c>
      <c r="B21" s="112" t="n"/>
      <c r="C21" s="112" t="n"/>
      <c r="D21" s="112" t="n"/>
      <c r="E21" s="112" t="n"/>
      <c r="F21" s="112" t="n"/>
    </row>
    <row r="22">
      <c r="A22" s="107" t="inlineStr">
        <is>
          <t>步骤</t>
        </is>
      </c>
      <c r="B22" s="107" t="inlineStr">
        <is>
          <t>地址</t>
        </is>
      </c>
      <c r="C22" s="107" t="inlineStr">
        <is>
          <t>寄存器</t>
        </is>
      </c>
      <c r="D22" s="107" t="inlineStr">
        <is>
          <t>写入值</t>
        </is>
      </c>
      <c r="E22" s="107" t="inlineStr">
        <is>
          <t>配置频率</t>
        </is>
      </c>
      <c r="F22" s="107" t="inlineStr">
        <is>
          <t>说明</t>
        </is>
      </c>
    </row>
    <row r="23">
      <c r="A23" s="111" t="inlineStr">
        <is>
          <t>1</t>
        </is>
      </c>
      <c r="B23" s="113" t="inlineStr">
        <is>
          <t>0x008</t>
        </is>
      </c>
      <c r="C23" s="111" t="inlineStr">
        <is>
          <t>REG_TILE_CFG0</t>
        </is>
      </c>
      <c r="D23" s="113">
        <f>'UBWC寄存器配置'!AL12</f>
        <v/>
      </c>
      <c r="E23" s="114" t="inlineStr">
        <is>
          <t>图像格式变化时配置</t>
        </is>
      </c>
      <c r="F23" s="114" t="inlineStr">
        <is>
          <t>bank swizzle/bank spread 等固定建议配置</t>
        </is>
      </c>
    </row>
    <row r="24">
      <c r="A24" s="111" t="inlineStr">
        <is>
          <t>2</t>
        </is>
      </c>
      <c r="B24" s="113" t="inlineStr">
        <is>
          <t>0x00C</t>
        </is>
      </c>
      <c r="C24" s="111" t="inlineStr">
        <is>
          <t>REG_TILE_CFG1</t>
        </is>
      </c>
      <c r="D24" s="113">
        <f>'UBWC寄存器配置'!X12</f>
        <v/>
      </c>
      <c r="E24" s="114" t="inlineStr">
        <is>
          <t>图像格式/尺寸变化时配置</t>
        </is>
      </c>
      <c r="F24" s="114" t="inlineStr">
        <is>
          <t>tile_pitch 和 RGBA/YUV plane 类型相关配置</t>
        </is>
      </c>
    </row>
    <row r="25">
      <c r="A25" s="111" t="inlineStr">
        <is>
          <t>3</t>
        </is>
      </c>
      <c r="B25" s="113" t="inlineStr">
        <is>
          <t>0x010</t>
        </is>
      </c>
      <c r="C25" s="111" t="inlineStr">
        <is>
          <t>REG_ENC_CI_CFG0</t>
        </is>
      </c>
      <c r="D25" s="113" t="inlineStr">
        <is>
          <t>0x00000701</t>
        </is>
      </c>
      <c r="E25" s="114" t="inlineStr">
        <is>
          <t>图像格式变化时配置</t>
        </is>
      </c>
      <c r="F25" s="114" t="inlineStr">
        <is>
          <t>CI input type=1(tiled data)，CI alen 默认 7</t>
        </is>
      </c>
    </row>
    <row r="26">
      <c r="A26" s="111" t="inlineStr">
        <is>
          <t>4</t>
        </is>
      </c>
      <c r="B26" s="113" t="inlineStr">
        <is>
          <t>0x020</t>
        </is>
      </c>
      <c r="C26" s="111" t="inlineStr">
        <is>
          <t>REG_OTF_CFG0</t>
        </is>
      </c>
      <c r="D26" s="113">
        <f>'UBWC寄存器配置'!Y12</f>
        <v/>
      </c>
      <c r="E26" s="114" t="inlineStr">
        <is>
          <t>图像格式变化时配置</t>
        </is>
      </c>
      <c r="F26" s="114" t="inlineStr">
        <is>
          <t>ENC OTF 输入 format</t>
        </is>
      </c>
    </row>
    <row r="27">
      <c r="A27" s="111" t="inlineStr">
        <is>
          <t>5</t>
        </is>
      </c>
      <c r="B27" s="113" t="inlineStr">
        <is>
          <t>0x024</t>
        </is>
      </c>
      <c r="C27" s="111" t="inlineStr">
        <is>
          <t>REG_OTF_CFG1</t>
        </is>
      </c>
      <c r="D27" s="113">
        <f>'UBWC寄存器配置'!Z12</f>
        <v/>
      </c>
      <c r="E27" s="114" t="inlineStr">
        <is>
          <t>图像尺寸变化时配置</t>
        </is>
      </c>
      <c r="F27" s="114" t="inlineStr">
        <is>
          <t>ENC OTF 输入 width/height；若总览选择 padding，则这里用 padding W/H</t>
        </is>
      </c>
    </row>
    <row r="28">
      <c r="A28" s="111" t="inlineStr">
        <is>
          <t>6</t>
        </is>
      </c>
      <c r="B28" s="113" t="inlineStr">
        <is>
          <t>0x028</t>
        </is>
      </c>
      <c r="C28" s="111" t="inlineStr">
        <is>
          <t>REG_OTF_CFG2</t>
        </is>
      </c>
      <c r="D28" s="113">
        <f>'UBWC寄存器配置'!AA12</f>
        <v/>
      </c>
      <c r="E28" s="114" t="inlineStr">
        <is>
          <t>图像格式变化时配置</t>
        </is>
      </c>
      <c r="F28" s="114" t="inlineStr">
        <is>
          <t>tile_w/tile_h</t>
        </is>
      </c>
    </row>
    <row r="29">
      <c r="A29" s="111" t="inlineStr">
        <is>
          <t>7</t>
        </is>
      </c>
      <c r="B29" s="113" t="inlineStr">
        <is>
          <t>0x02C</t>
        </is>
      </c>
      <c r="C29" s="111" t="inlineStr">
        <is>
          <t>REG_OTF_CFG3</t>
        </is>
      </c>
      <c r="D29" s="113">
        <f>'UBWC寄存器配置'!AB12</f>
        <v/>
      </c>
      <c r="E29" s="114" t="inlineStr">
        <is>
          <t>图像尺寸变化时配置</t>
        </is>
      </c>
      <c r="F29" s="114" t="inlineStr">
        <is>
          <t>Y/UV tile cols；RGBA 的 UV 侧为 0</t>
        </is>
      </c>
    </row>
    <row r="30">
      <c r="A30" s="111" t="inlineStr">
        <is>
          <t>8</t>
        </is>
      </c>
      <c r="B30" s="113" t="inlineStr">
        <is>
          <t>0x050</t>
        </is>
      </c>
      <c r="C30" s="111" t="inlineStr">
        <is>
          <t>REG_META_ACTIVE_SIZE</t>
        </is>
      </c>
      <c r="D30" s="113">
        <f>'UBWC寄存器配置'!AC12</f>
        <v/>
      </c>
      <c r="E30" s="114" t="inlineStr">
        <is>
          <t>图像有效尺寸变化时配置</t>
        </is>
      </c>
      <c r="F30" s="114" t="inlineStr">
        <is>
          <t>真实 active W/H，不使用 padding W/H</t>
        </is>
      </c>
    </row>
    <row r="31">
      <c r="A31" s="111" t="inlineStr">
        <is>
          <t>9</t>
        </is>
      </c>
      <c r="B31" s="113" t="inlineStr">
        <is>
          <t>0x054</t>
        </is>
      </c>
      <c r="C31" s="111" t="inlineStr">
        <is>
          <t>REG_META_PITCH</t>
        </is>
      </c>
      <c r="D31" s="113">
        <f>'UBWC寄存器配置'!AD12</f>
        <v/>
      </c>
      <c r="E31" s="114" t="inlineStr">
        <is>
          <t>图像尺寸变化时配置</t>
        </is>
      </c>
      <c r="F31" s="114" t="inlineStr">
        <is>
          <t>metadata plane pitch</t>
        </is>
      </c>
    </row>
    <row r="32">
      <c r="A32" s="111" t="inlineStr">
        <is>
          <t>10</t>
        </is>
      </c>
      <c r="B32" s="113" t="inlineStr">
        <is>
          <t>0x060</t>
        </is>
      </c>
      <c r="C32" s="111" t="inlineStr">
        <is>
          <t>REG_IRQ_CTRL</t>
        </is>
      </c>
      <c r="D32" s="113" t="inlineStr">
        <is>
          <t>0x00000001</t>
        </is>
      </c>
      <c r="E32" s="114" t="inlineStr">
        <is>
          <t>上电后或中断策略变化时配置</t>
        </is>
      </c>
      <c r="F32" s="114" t="inlineStr">
        <is>
          <t>bit0 irq_enable=1；bit6 可按需配置 vsync reset enable</t>
        </is>
      </c>
    </row>
    <row r="33"/>
    <row r="34" ht="22" customHeight="1" s="73">
      <c r="A34" s="112" t="inlineStr">
        <is>
          <t>3. ENC 每帧地址与启动</t>
        </is>
      </c>
      <c r="B34" s="112" t="n"/>
      <c r="C34" s="112" t="n"/>
      <c r="D34" s="112" t="n"/>
      <c r="E34" s="112" t="n"/>
      <c r="F34" s="112" t="n"/>
    </row>
    <row r="35">
      <c r="A35" s="115" t="inlineStr">
        <is>
          <t>步骤</t>
        </is>
      </c>
      <c r="B35" s="115" t="inlineStr">
        <is>
          <t>地址</t>
        </is>
      </c>
      <c r="C35" s="115" t="inlineStr">
        <is>
          <t>寄存器/字段</t>
        </is>
      </c>
      <c r="D35" s="115" t="inlineStr">
        <is>
          <t>写入值</t>
        </is>
      </c>
      <c r="E35" s="115" t="inlineStr">
        <is>
          <t>配置频率</t>
        </is>
      </c>
      <c r="F35" s="115" t="inlineStr">
        <is>
          <t>说明</t>
        </is>
      </c>
    </row>
    <row r="36">
      <c r="A36" s="111" t="inlineStr">
        <is>
          <t>1</t>
        </is>
      </c>
      <c r="B36" s="113" t="inlineStr">
        <is>
          <t>0x030</t>
        </is>
      </c>
      <c r="C36" s="111" t="inlineStr">
        <is>
          <t>REG_META_BASE_Y_LO</t>
        </is>
      </c>
      <c r="D36" s="113" t="inlineStr">
        <is>
          <t>&lt;meta_y_base[31:0]&gt;</t>
        </is>
      </c>
      <c r="E36" s="114" t="inlineStr">
        <is>
          <t>每帧配置</t>
        </is>
      </c>
      <c r="F36" s="114" t="inlineStr">
        <is>
          <t>压缩后 Y/RGBA metadata 存储基地址低 32 bit</t>
        </is>
      </c>
    </row>
    <row r="37">
      <c r="A37" s="111" t="inlineStr">
        <is>
          <t>2</t>
        </is>
      </c>
      <c r="B37" s="113" t="inlineStr">
        <is>
          <t>0x034</t>
        </is>
      </c>
      <c r="C37" s="111" t="inlineStr">
        <is>
          <t>REG_META_BASE_Y_HI</t>
        </is>
      </c>
      <c r="D37" s="113" t="inlineStr">
        <is>
          <t>&lt;meta_y_base[63:32]&gt;</t>
        </is>
      </c>
      <c r="E37" s="114" t="inlineStr">
        <is>
          <t>每帧配置</t>
        </is>
      </c>
      <c r="F37" s="114" t="inlineStr">
        <is>
          <t>压缩后 Y/RGBA metadata 存储基地址高 32 bit</t>
        </is>
      </c>
    </row>
    <row r="38">
      <c r="A38" s="111" t="inlineStr">
        <is>
          <t>3</t>
        </is>
      </c>
      <c r="B38" s="113" t="inlineStr">
        <is>
          <t>0x038</t>
        </is>
      </c>
      <c r="C38" s="111" t="inlineStr">
        <is>
          <t>REG_TILE_BASE_Y_LO</t>
        </is>
      </c>
      <c r="D38" s="113" t="inlineStr">
        <is>
          <t>&lt;tile_y_base[31:0]&gt;</t>
        </is>
      </c>
      <c r="E38" s="114" t="inlineStr">
        <is>
          <t>每帧配置</t>
        </is>
      </c>
      <c r="F38" s="114" t="inlineStr">
        <is>
          <t>压缩后 Y/RGBA tile 数据存储基地址低 32 bit</t>
        </is>
      </c>
    </row>
    <row r="39">
      <c r="A39" s="111" t="inlineStr">
        <is>
          <t>4</t>
        </is>
      </c>
      <c r="B39" s="113" t="inlineStr">
        <is>
          <t>0x03C</t>
        </is>
      </c>
      <c r="C39" s="111" t="inlineStr">
        <is>
          <t>REG_TILE_BASE_Y_HI</t>
        </is>
      </c>
      <c r="D39" s="113" t="inlineStr">
        <is>
          <t>&lt;tile_y_base[63:32]&gt;</t>
        </is>
      </c>
      <c r="E39" s="114" t="inlineStr">
        <is>
          <t>每帧配置</t>
        </is>
      </c>
      <c r="F39" s="114" t="inlineStr">
        <is>
          <t>压缩后 Y/RGBA tile 数据存储基地址高 32 bit</t>
        </is>
      </c>
    </row>
    <row r="40">
      <c r="A40" s="111" t="inlineStr">
        <is>
          <t>5</t>
        </is>
      </c>
      <c r="B40" s="113" t="inlineStr">
        <is>
          <t>0x040</t>
        </is>
      </c>
      <c r="C40" s="111" t="inlineStr">
        <is>
          <t>REG_META_BASE_UV_LO</t>
        </is>
      </c>
      <c r="D40" s="113" t="inlineStr">
        <is>
          <t>&lt;meta_uv_base[31:0]&gt;</t>
        </is>
      </c>
      <c r="E40" s="114" t="inlineStr">
        <is>
          <t>每帧配置</t>
        </is>
      </c>
      <c r="F40" s="114" t="inlineStr">
        <is>
          <t>UV metadata 存储基地址低 32 bit；RGBA 可写 0</t>
        </is>
      </c>
    </row>
    <row r="41">
      <c r="A41" s="111" t="inlineStr">
        <is>
          <t>6</t>
        </is>
      </c>
      <c r="B41" s="113" t="inlineStr">
        <is>
          <t>0x044</t>
        </is>
      </c>
      <c r="C41" s="111" t="inlineStr">
        <is>
          <t>REG_META_BASE_UV_HI</t>
        </is>
      </c>
      <c r="D41" s="113" t="inlineStr">
        <is>
          <t>&lt;meta_uv_base[63:32]&gt;</t>
        </is>
      </c>
      <c r="E41" s="114" t="inlineStr">
        <is>
          <t>每帧配置</t>
        </is>
      </c>
      <c r="F41" s="114" t="inlineStr">
        <is>
          <t>UV metadata 存储基地址高 32 bit；RGBA 可写 0</t>
        </is>
      </c>
    </row>
    <row r="42">
      <c r="A42" s="111" t="inlineStr">
        <is>
          <t>7</t>
        </is>
      </c>
      <c r="B42" s="113" t="inlineStr">
        <is>
          <t>0x048</t>
        </is>
      </c>
      <c r="C42" s="111" t="inlineStr">
        <is>
          <t>REG_TILE_BASE_UV_LO</t>
        </is>
      </c>
      <c r="D42" s="113" t="inlineStr">
        <is>
          <t>&lt;tile_uv_base[31:0]&gt;</t>
        </is>
      </c>
      <c r="E42" s="114" t="inlineStr">
        <is>
          <t>每帧配置</t>
        </is>
      </c>
      <c r="F42" s="114" t="inlineStr">
        <is>
          <t>UV tile 数据存储基地址低 32 bit；RGBA 可写 0</t>
        </is>
      </c>
    </row>
    <row r="43">
      <c r="A43" s="111" t="inlineStr">
        <is>
          <t>8</t>
        </is>
      </c>
      <c r="B43" s="113" t="inlineStr">
        <is>
          <t>0x04C</t>
        </is>
      </c>
      <c r="C43" s="111" t="inlineStr">
        <is>
          <t>REG_TILE_BASE_UV_HI</t>
        </is>
      </c>
      <c r="D43" s="113" t="inlineStr">
        <is>
          <t>&lt;tile_uv_base[63:32]&gt;</t>
        </is>
      </c>
      <c r="E43" s="114" t="inlineStr">
        <is>
          <t>每帧配置</t>
        </is>
      </c>
      <c r="F43" s="114" t="inlineStr">
        <is>
          <t>UV tile 数据存储基地址高 32 bit；写该 high word 后提交地址组</t>
        </is>
      </c>
    </row>
    <row r="44">
      <c r="A44" s="111" t="inlineStr">
        <is>
          <t>9</t>
        </is>
      </c>
      <c r="B44" s="113" t="inlineStr">
        <is>
          <t>0x060</t>
        </is>
      </c>
      <c r="C44" s="111" t="inlineStr">
        <is>
          <t>REG_IRQ_CTRL[5]</t>
        </is>
      </c>
      <c r="D44" s="113" t="inlineStr">
        <is>
          <t>0x00000020</t>
        </is>
      </c>
      <c r="E44" s="114" t="inlineStr">
        <is>
          <t>每帧配置</t>
        </is>
      </c>
      <c r="F44" s="114" t="inlineStr">
        <is>
          <t>写 start token，启动当前帧地址组</t>
        </is>
      </c>
    </row>
    <row r="45"/>
    <row r="46"/>
    <row r="47" ht="22" customHeight="1" s="73">
      <c r="A47" s="112" t="inlineStr">
        <is>
          <t>4. DEC 静态寄存器配置</t>
        </is>
      </c>
      <c r="B47" s="112" t="n"/>
      <c r="C47" s="112" t="n"/>
      <c r="D47" s="112" t="n"/>
      <c r="E47" s="112" t="n"/>
      <c r="F47" s="112" t="n"/>
    </row>
    <row r="48">
      <c r="A48" s="107" t="inlineStr">
        <is>
          <t>步骤</t>
        </is>
      </c>
      <c r="B48" s="107" t="inlineStr">
        <is>
          <t>地址</t>
        </is>
      </c>
      <c r="C48" s="107" t="inlineStr">
        <is>
          <t>寄存器</t>
        </is>
      </c>
      <c r="D48" s="107" t="inlineStr">
        <is>
          <t>写入值</t>
        </is>
      </c>
      <c r="E48" s="107" t="inlineStr">
        <is>
          <t>配置频率</t>
        </is>
      </c>
      <c r="F48" s="107" t="inlineStr">
        <is>
          <t>说明</t>
        </is>
      </c>
    </row>
    <row r="49">
      <c r="A49" s="111" t="inlineStr">
        <is>
          <t>1</t>
        </is>
      </c>
      <c r="B49" s="113" t="inlineStr">
        <is>
          <t>0x008</t>
        </is>
      </c>
      <c r="C49" s="111" t="inlineStr">
        <is>
          <t>APB_ADDR_TILE_CFG0</t>
        </is>
      </c>
      <c r="D49" s="113">
        <f>'UBWC寄存器配置'!AM12</f>
        <v/>
      </c>
      <c r="E49" s="114" t="inlineStr">
        <is>
          <t>图像格式变化时配置</t>
        </is>
      </c>
      <c r="F49" s="114" t="inlineStr">
        <is>
          <t>bank swizzle/bank spread 等固定建议配置</t>
        </is>
      </c>
    </row>
    <row r="50">
      <c r="A50" s="111" t="inlineStr">
        <is>
          <t>2</t>
        </is>
      </c>
      <c r="B50" s="113" t="inlineStr">
        <is>
          <t>0x00C</t>
        </is>
      </c>
      <c r="C50" s="111" t="inlineStr">
        <is>
          <t>APB_ADDR_TILE_CFG1</t>
        </is>
      </c>
      <c r="D50" s="113">
        <f>'UBWC寄存器配置'!AE12</f>
        <v/>
      </c>
      <c r="E50" s="114" t="inlineStr">
        <is>
          <t>图像尺寸变化时配置</t>
        </is>
      </c>
      <c r="F50" s="114" t="inlineStr">
        <is>
          <t>tile pitch</t>
        </is>
      </c>
    </row>
    <row r="51">
      <c r="A51" s="111" t="inlineStr">
        <is>
          <t>3</t>
        </is>
      </c>
      <c r="B51" s="113" t="inlineStr">
        <is>
          <t>0x010</t>
        </is>
      </c>
      <c r="C51" s="111" t="inlineStr">
        <is>
          <t>APB_ADDR_TILE_CFG2</t>
        </is>
      </c>
      <c r="D51" s="113" t="inlineStr">
        <is>
          <t>0x00000001</t>
        </is>
      </c>
      <c r="E51" s="114" t="inlineStr">
        <is>
          <t>图像格式变化时配置</t>
        </is>
      </c>
      <c r="F51" s="114" t="inlineStr">
        <is>
          <t>CI input type=1(tiled data)</t>
        </is>
      </c>
    </row>
    <row r="52">
      <c r="A52" s="111" t="inlineStr">
        <is>
          <t>4</t>
        </is>
      </c>
      <c r="B52" s="113" t="inlineStr">
        <is>
          <t>0x014</t>
        </is>
      </c>
      <c r="C52" s="111" t="inlineStr">
        <is>
          <t>APB_ADDR_VIVO_CFG</t>
        </is>
      </c>
      <c r="D52" s="113" t="inlineStr">
        <is>
          <t>0x00000001</t>
        </is>
      </c>
      <c r="E52" s="114" t="inlineStr">
        <is>
          <t>上电后一次或 reset 策略变化时配置</t>
        </is>
      </c>
      <c r="F52" s="114" t="inlineStr">
        <is>
          <t>VIVO decode enable</t>
        </is>
      </c>
    </row>
    <row r="53">
      <c r="A53" s="111" t="inlineStr">
        <is>
          <t>5</t>
        </is>
      </c>
      <c r="B53" s="113" t="inlineStr">
        <is>
          <t>0x018</t>
        </is>
      </c>
      <c r="C53" s="111" t="inlineStr">
        <is>
          <t>APB_ADDR_OTF_CFG0</t>
        </is>
      </c>
      <c r="D53" s="113">
        <f>'UBWC寄存器配置'!AF12</f>
        <v/>
      </c>
      <c r="E53" s="114" t="inlineStr">
        <is>
          <t>图像格式/active宽度变化时配置</t>
        </is>
      </c>
      <c r="F53" s="114" t="inlineStr">
        <is>
          <t>output OTF format + active image width</t>
        </is>
      </c>
    </row>
    <row r="54">
      <c r="A54" s="111" t="inlineStr">
        <is>
          <t>6</t>
        </is>
      </c>
      <c r="B54" s="113" t="inlineStr">
        <is>
          <t>0x01C</t>
        </is>
      </c>
      <c r="C54" s="111" t="inlineStr">
        <is>
          <t>APB_ADDR_OTF_CFG1</t>
        </is>
      </c>
      <c r="D54" s="113">
        <f>'UBWC寄存器配置'!AG12</f>
        <v/>
      </c>
      <c r="E54" s="114" t="inlineStr">
        <is>
          <t>OTF timing 变化时配置</t>
        </is>
      </c>
      <c r="F54" s="114" t="inlineStr">
        <is>
          <t>H_TOTAL/H_SYNC；示例按 active width 填最小 timing</t>
        </is>
      </c>
    </row>
    <row r="55">
      <c r="A55" s="111" t="inlineStr">
        <is>
          <t>7</t>
        </is>
      </c>
      <c r="B55" s="113" t="inlineStr">
        <is>
          <t>0x020</t>
        </is>
      </c>
      <c r="C55" s="111" t="inlineStr">
        <is>
          <t>APB_ADDR_OTF_CFG2</t>
        </is>
      </c>
      <c r="D55" s="113">
        <f>'UBWC寄存器配置'!AH12</f>
        <v/>
      </c>
      <c r="E55" s="114" t="inlineStr">
        <is>
          <t>OTF timing 变化时配置</t>
        </is>
      </c>
      <c r="F55" s="114" t="inlineStr">
        <is>
          <t>H_BP/H_ACT；H_ACT 使用 active width</t>
        </is>
      </c>
    </row>
    <row r="56">
      <c r="A56" s="111" t="inlineStr">
        <is>
          <t>8</t>
        </is>
      </c>
      <c r="B56" s="113" t="inlineStr">
        <is>
          <t>0x024</t>
        </is>
      </c>
      <c r="C56" s="111" t="inlineStr">
        <is>
          <t>APB_ADDR_OTF_CFG3</t>
        </is>
      </c>
      <c r="D56" s="113">
        <f>'UBWC寄存器配置'!AI12</f>
        <v/>
      </c>
      <c r="E56" s="114" t="inlineStr">
        <is>
          <t>OTF timing 变化时配置</t>
        </is>
      </c>
      <c r="F56" s="114" t="inlineStr">
        <is>
          <t>V_TOTAL/V_SYNC；示例按 active height 填最小 timing</t>
        </is>
      </c>
    </row>
    <row r="57">
      <c r="A57" s="111" t="inlineStr">
        <is>
          <t>9</t>
        </is>
      </c>
      <c r="B57" s="113" t="inlineStr">
        <is>
          <t>0x028</t>
        </is>
      </c>
      <c r="C57" s="111" t="inlineStr">
        <is>
          <t>APB_ADDR_OTF_CFG4</t>
        </is>
      </c>
      <c r="D57" s="113">
        <f>'UBWC寄存器配置'!AJ12</f>
        <v/>
      </c>
      <c r="E57" s="114" t="inlineStr">
        <is>
          <t>OTF timing 变化时配置</t>
        </is>
      </c>
      <c r="F57" s="114" t="inlineStr">
        <is>
          <t>V_BP/V_ACT；V_ACT 使用 active height，不用 stored_h</t>
        </is>
      </c>
    </row>
    <row r="58">
      <c r="A58" s="111" t="inlineStr">
        <is>
          <t>10</t>
        </is>
      </c>
      <c r="B58" s="113" t="inlineStr">
        <is>
          <t>0x02C</t>
        </is>
      </c>
      <c r="C58" s="111" t="inlineStr">
        <is>
          <t>APB_ADDR_META_CFG0</t>
        </is>
      </c>
      <c r="D58" s="113">
        <f>'UBWC寄存器配置'!AK12</f>
        <v/>
      </c>
      <c r="E58" s="114" t="inlineStr">
        <is>
          <t>图像尺寸变化时配置</t>
        </is>
      </c>
      <c r="F58" s="114" t="inlineStr">
        <is>
          <t>metadata tile_x/tile_y count，使用 stored/layout tile rows</t>
        </is>
      </c>
    </row>
    <row r="59">
      <c r="A59" s="111" t="inlineStr">
        <is>
          <t>11</t>
        </is>
      </c>
      <c r="B59" s="113" t="inlineStr">
        <is>
          <t>0x060</t>
        </is>
      </c>
      <c r="C59" s="111" t="inlineStr">
        <is>
          <t>APB_ADDR_IRQ_CTRL</t>
        </is>
      </c>
      <c r="D59" s="113" t="inlineStr">
        <is>
          <t>0x00000001</t>
        </is>
      </c>
      <c r="E59" s="114" t="inlineStr">
        <is>
          <t>上电后或中断策略变化时配置</t>
        </is>
      </c>
      <c r="F59" s="114" t="inlineStr">
        <is>
          <t>bit0 irq_enable=1</t>
        </is>
      </c>
    </row>
    <row r="60"/>
    <row r="61"/>
    <row r="62" ht="22" customHeight="1" s="73">
      <c r="A62" s="112" t="inlineStr">
        <is>
          <t>5. DEC 每帧地址与启动</t>
        </is>
      </c>
      <c r="B62" s="112" t="n"/>
      <c r="C62" s="112" t="n"/>
      <c r="D62" s="112" t="n"/>
      <c r="E62" s="112" t="n"/>
      <c r="F62" s="112" t="n"/>
    </row>
    <row r="63">
      <c r="A63" s="115" t="inlineStr">
        <is>
          <t>步骤</t>
        </is>
      </c>
      <c r="B63" s="115" t="inlineStr">
        <is>
          <t>地址</t>
        </is>
      </c>
      <c r="C63" s="115" t="inlineStr">
        <is>
          <t>寄存器/字段</t>
        </is>
      </c>
      <c r="D63" s="115" t="inlineStr">
        <is>
          <t>写入值</t>
        </is>
      </c>
      <c r="E63" s="115" t="inlineStr">
        <is>
          <t>配置频率</t>
        </is>
      </c>
      <c r="F63" s="115" t="inlineStr">
        <is>
          <t>说明</t>
        </is>
      </c>
    </row>
    <row r="64">
      <c r="A64" s="111" t="inlineStr">
        <is>
          <t>1</t>
        </is>
      </c>
      <c r="B64" s="113" t="inlineStr">
        <is>
          <t>0x030</t>
        </is>
      </c>
      <c r="C64" s="111" t="inlineStr">
        <is>
          <t>REG_META_BASE_Y_LO</t>
        </is>
      </c>
      <c r="D64" s="113" t="inlineStr">
        <is>
          <t>&lt;meta_y_base[31:0]&gt;</t>
        </is>
      </c>
      <c r="E64" s="114" t="inlineStr">
        <is>
          <t>每帧配置</t>
        </is>
      </c>
      <c r="F64" s="114" t="inlineStr">
        <is>
          <t>输入 UBWC Y/RGBA metadata 读取基地址低 32 bit</t>
        </is>
      </c>
    </row>
    <row r="65">
      <c r="A65" s="111" t="inlineStr">
        <is>
          <t>2</t>
        </is>
      </c>
      <c r="B65" s="113" t="inlineStr">
        <is>
          <t>0x034</t>
        </is>
      </c>
      <c r="C65" s="111" t="inlineStr">
        <is>
          <t>REG_META_BASE_Y_HI</t>
        </is>
      </c>
      <c r="D65" s="113" t="inlineStr">
        <is>
          <t>&lt;meta_y_base[63:32]&gt;</t>
        </is>
      </c>
      <c r="E65" s="114" t="inlineStr">
        <is>
          <t>每帧配置</t>
        </is>
      </c>
      <c r="F65" s="114" t="inlineStr">
        <is>
          <t>输入 UBWC Y/RGBA metadata 读取基地址高 32 bit</t>
        </is>
      </c>
    </row>
    <row r="66">
      <c r="A66" s="111" t="inlineStr">
        <is>
          <t>3</t>
        </is>
      </c>
      <c r="B66" s="113" t="inlineStr">
        <is>
          <t>0x038</t>
        </is>
      </c>
      <c r="C66" s="111" t="inlineStr">
        <is>
          <t>REG_TILE_BASE_Y_LO</t>
        </is>
      </c>
      <c r="D66" s="113" t="inlineStr">
        <is>
          <t>&lt;tile_y_base[31:0]&gt;</t>
        </is>
      </c>
      <c r="E66" s="114" t="inlineStr">
        <is>
          <t>每帧配置</t>
        </is>
      </c>
      <c r="F66" s="114" t="inlineStr">
        <is>
          <t>输入 UBWC Y/RGBA tile 数据读取基地址低 32 bit</t>
        </is>
      </c>
    </row>
    <row r="67">
      <c r="A67" s="111" t="inlineStr">
        <is>
          <t>4</t>
        </is>
      </c>
      <c r="B67" s="113" t="inlineStr">
        <is>
          <t>0x03C</t>
        </is>
      </c>
      <c r="C67" s="111" t="inlineStr">
        <is>
          <t>REG_TILE_BASE_Y_HI</t>
        </is>
      </c>
      <c r="D67" s="113" t="inlineStr">
        <is>
          <t>&lt;tile_y_base[63:32]&gt;</t>
        </is>
      </c>
      <c r="E67" s="114" t="inlineStr">
        <is>
          <t>每帧配置</t>
        </is>
      </c>
      <c r="F67" s="114" t="inlineStr">
        <is>
          <t>输入 UBWC Y/RGBA tile 数据读取基地址高 32 bit</t>
        </is>
      </c>
    </row>
    <row r="68">
      <c r="A68" s="111" t="inlineStr">
        <is>
          <t>5</t>
        </is>
      </c>
      <c r="B68" s="113" t="inlineStr">
        <is>
          <t>0x040</t>
        </is>
      </c>
      <c r="C68" s="111" t="inlineStr">
        <is>
          <t>REG_META_BASE_UV_LO</t>
        </is>
      </c>
      <c r="D68" s="113" t="inlineStr">
        <is>
          <t>&lt;meta_uv_base[31:0]&gt;</t>
        </is>
      </c>
      <c r="E68" s="114" t="inlineStr">
        <is>
          <t>每帧配置</t>
        </is>
      </c>
      <c r="F68" s="114" t="inlineStr">
        <is>
          <t>输入 UBWC UV metadata 读取基地址低 32 bit；RGBA 可写 0</t>
        </is>
      </c>
    </row>
    <row r="69">
      <c r="A69" s="111" t="inlineStr">
        <is>
          <t>6</t>
        </is>
      </c>
      <c r="B69" s="113" t="inlineStr">
        <is>
          <t>0x044</t>
        </is>
      </c>
      <c r="C69" s="111" t="inlineStr">
        <is>
          <t>REG_META_BASE_UV_HI</t>
        </is>
      </c>
      <c r="D69" s="113" t="inlineStr">
        <is>
          <t>&lt;meta_uv_base[63:32]&gt;</t>
        </is>
      </c>
      <c r="E69" s="114" t="inlineStr">
        <is>
          <t>每帧配置</t>
        </is>
      </c>
      <c r="F69" s="114" t="inlineStr">
        <is>
          <t>输入 UBWC UV metadata 读取基地址高 32 bit；RGBA 可写 0</t>
        </is>
      </c>
    </row>
    <row r="70">
      <c r="A70" s="111" t="inlineStr">
        <is>
          <t>7</t>
        </is>
      </c>
      <c r="B70" s="113" t="inlineStr">
        <is>
          <t>0x048</t>
        </is>
      </c>
      <c r="C70" s="111" t="inlineStr">
        <is>
          <t>REG_TILE_BASE_UV_LO</t>
        </is>
      </c>
      <c r="D70" s="113" t="inlineStr">
        <is>
          <t>&lt;tile_uv_base[31:0]&gt;</t>
        </is>
      </c>
      <c r="E70" s="114" t="inlineStr">
        <is>
          <t>每帧配置</t>
        </is>
      </c>
      <c r="F70" s="114" t="inlineStr">
        <is>
          <t>输入 UBWC UV tile 数据读取基地址低 32 bit；RGBA 可写 0</t>
        </is>
      </c>
    </row>
    <row r="71">
      <c r="A71" s="111" t="inlineStr">
        <is>
          <t>8</t>
        </is>
      </c>
      <c r="B71" s="113" t="inlineStr">
        <is>
          <t>0x04C</t>
        </is>
      </c>
      <c r="C71" s="111" t="inlineStr">
        <is>
          <t>REG_TILE_BASE_UV_HI</t>
        </is>
      </c>
      <c r="D71" s="113" t="inlineStr">
        <is>
          <t>&lt;tile_uv_base[63:32]&gt;</t>
        </is>
      </c>
      <c r="E71" s="114" t="inlineStr">
        <is>
          <t>每帧配置</t>
        </is>
      </c>
      <c r="F71" s="114" t="inlineStr">
        <is>
          <t>输入 UBWC UV tile 数据读取基地址高 32 bit；完整地址组写完后等待 start</t>
        </is>
      </c>
    </row>
    <row r="72">
      <c r="A72" s="111" t="inlineStr">
        <is>
          <t>9</t>
        </is>
      </c>
      <c r="B72" s="113" t="inlineStr">
        <is>
          <t>0x060</t>
        </is>
      </c>
      <c r="C72" s="111" t="inlineStr">
        <is>
          <t>APB_ADDR_IRQ_CTRL[5]</t>
        </is>
      </c>
      <c r="D72" s="113" t="inlineStr">
        <is>
          <t>0x00000020</t>
        </is>
      </c>
      <c r="E72" s="114" t="inlineStr">
        <is>
          <t>每帧配置</t>
        </is>
      </c>
      <c r="F72" s="114" t="inlineStr">
        <is>
          <t>写 start token；地址组和 start token 都有效后启动 decode</t>
        </is>
      </c>
    </row>
    <row r="73"/>
    <row r="74"/>
    <row r="75" ht="22" customHeight="1" s="73">
      <c r="A75" s="112" t="inlineStr">
        <is>
          <t>6. 计算说明</t>
        </is>
      </c>
      <c r="B75" s="112" t="n"/>
      <c r="C75" s="112" t="n"/>
      <c r="D75" s="112" t="n"/>
      <c r="E75" s="112" t="n"/>
      <c r="F75" s="112" t="n"/>
    </row>
    <row r="76">
      <c r="A76" s="116" t="inlineStr">
        <is>
          <t>项目</t>
        </is>
      </c>
      <c r="B76" s="116" t="inlineStr">
        <is>
          <t>公式/来源</t>
        </is>
      </c>
      <c r="C76" s="116" t="inlineStr">
        <is>
          <t>说明</t>
        </is>
      </c>
    </row>
    <row r="77">
      <c r="A77" s="111" t="inlineStr">
        <is>
          <t>active_W/H</t>
        </is>
      </c>
      <c r="B77" s="113" t="inlineStr">
        <is>
          <t>原图真实有效宽高</t>
        </is>
      </c>
      <c r="C77" s="111" t="inlineStr">
        <is>
          <t>软件可见图像有效范围；ENC META_ACTIVE_SIZE 和 DEC OTF H_ACT/V_ACT 使用该值。</t>
        </is>
      </c>
    </row>
    <row r="78">
      <c r="A78" s="111" t="inlineStr">
        <is>
          <t>stored_W</t>
        </is>
      </c>
      <c r="B78" s="113">
        <f> max(原表 padding_W, ceil(active_W, tile_w*4))</f>
        <v/>
      </c>
      <c r="C78" s="111" t="inlineStr">
        <is>
          <t>用于 UBWC tile/meta/layout；不是 DEC OTF 输出有效宽度。</t>
        </is>
      </c>
    </row>
    <row r="79">
      <c r="A79" s="111" t="inlineStr">
        <is>
          <t>stored_H</t>
        </is>
      </c>
      <c r="B79" s="113">
        <f> max(原表 padding_H, ceil(active_H, tile_h*4))</f>
        <v/>
      </c>
      <c r="C79" s="111" t="inlineStr">
        <is>
          <t>用于 UBWC tile/meta/layout；不是 DEC OTF 输出有效高度。</t>
        </is>
      </c>
    </row>
    <row r="80">
      <c r="A80" s="111" t="inlineStr">
        <is>
          <t>Y_tile_cols</t>
        </is>
      </c>
      <c r="B80" s="113">
        <f> stored_W / tile_w</f>
        <v/>
      </c>
      <c r="C80" s="111" t="inlineStr">
        <is>
          <t>RGBA/Y plane 横向 tile 数。</t>
        </is>
      </c>
    </row>
    <row r="81">
      <c r="A81" s="111" t="inlineStr">
        <is>
          <t>Y_tile_rows</t>
        </is>
      </c>
      <c r="B81" s="113">
        <f> stored_H / tile_h</f>
        <v/>
      </c>
      <c r="C81" s="111" t="inlineStr">
        <is>
          <t>RGBA/Y plane 纵向 tile 数。</t>
        </is>
      </c>
    </row>
    <row r="82">
      <c r="A82" s="111" t="inlineStr">
        <is>
          <t>meta_pitch</t>
        </is>
      </c>
      <c r="B82" s="113">
        <f> ceil(Y_tile_cols, 64)</f>
        <v/>
      </c>
      <c r="C82" s="111" t="inlineStr">
        <is>
          <t>metadata pitch 按 64B 对齐。</t>
        </is>
      </c>
    </row>
    <row r="83">
      <c r="A83" s="111" t="inlineStr">
        <is>
          <t>tile_pitch</t>
        </is>
      </c>
      <c r="B83" s="113">
        <f> stored_W * bpp / 16</f>
        <v/>
      </c>
      <c r="C83" s="111" t="inlineStr">
        <is>
          <t>本表按 RTL 当前寄存器语义生成配置值。</t>
        </is>
      </c>
    </row>
    <row r="84">
      <c r="A84" s="111" t="inlineStr">
        <is>
          <t>DEC p_v_act / V_ACT</t>
        </is>
      </c>
      <c r="B84" s="113">
        <f> active_H</f>
        <v/>
      </c>
      <c r="C84" s="111" t="inlineStr">
        <is>
          <t>不要填 stored_H；padding 行只属于存储/layout，不属于最终 OTF 有效输出。</t>
        </is>
      </c>
    </row>
  </sheetData>
  <mergeCells count="8">
    <mergeCell ref="A47:F47"/>
    <mergeCell ref="B2:F2"/>
    <mergeCell ref="A1:F1"/>
    <mergeCell ref="A5:F5"/>
    <mergeCell ref="A75:F75"/>
    <mergeCell ref="A34:F34"/>
    <mergeCell ref="A62:F62"/>
    <mergeCell ref="A21:F21"/>
  </mergeCells>
  <hyperlinks>
    <hyperlink xmlns:r="http://schemas.openxmlformats.org/officeDocument/2006/relationships" ref="B3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style="73" min="1" max="1"/>
    <col width="18" customWidth="1" style="73" min="2" max="2"/>
    <col width="18" customWidth="1" style="73" min="3" max="3"/>
    <col width="20" customWidth="1" style="73" min="4" max="4"/>
    <col width="44" customWidth="1" style="73" min="5" max="5"/>
    <col width="56" customWidth="1" style="73" min="6" max="6"/>
  </cols>
  <sheetData>
    <row r="1" ht="28" customHeight="1" s="73">
      <c r="A1" s="109" t="inlineStr">
        <is>
          <t>UBWC case05 寄存器配置</t>
        </is>
      </c>
      <c r="B1" s="109" t="n"/>
      <c r="C1" s="109" t="n"/>
      <c r="D1" s="109" t="n"/>
      <c r="E1" s="109" t="n"/>
      <c r="F1" s="109" t="n"/>
    </row>
    <row r="2" ht="34" customHeight="1" s="73">
      <c r="A2" s="110" t="inlineStr">
        <is>
          <t>说明</t>
        </is>
      </c>
      <c r="B2" s="110" t="inlineStr">
        <is>
          <t>本页所有关键值引用总览页；如需改格式或是否使用 padding，请优先修改总览页对应行。Excel 打开后会自动重算公式。</t>
        </is>
      </c>
      <c r="C2" s="110" t="n"/>
      <c r="D2" s="110" t="n"/>
      <c r="E2" s="110" t="n"/>
      <c r="F2" s="110" t="n"/>
    </row>
    <row r="3">
      <c r="A3" s="111" t="inlineStr">
        <is>
          <t>返回总览</t>
        </is>
      </c>
      <c r="B3" s="111" t="inlineStr">
        <is>
          <t>UBWC寄存器配置</t>
        </is>
      </c>
      <c r="C3" s="111" t="n"/>
      <c r="D3" s="111" t="n"/>
      <c r="E3" s="111" t="n"/>
      <c r="F3" s="111" t="n"/>
    </row>
    <row r="4"/>
    <row r="5" ht="22" customHeight="1" s="73">
      <c r="A5" s="112" t="inlineStr">
        <is>
          <t>1. 输入参数与派生尺寸</t>
        </is>
      </c>
      <c r="B5" s="112" t="n"/>
      <c r="C5" s="112" t="n"/>
      <c r="D5" s="112" t="n"/>
      <c r="E5" s="112" t="n"/>
      <c r="F5" s="112" t="n"/>
    </row>
    <row r="6">
      <c r="A6" s="107" t="inlineStr">
        <is>
          <t>字段</t>
        </is>
      </c>
      <c r="B6" s="107" t="inlineStr">
        <is>
          <t>值</t>
        </is>
      </c>
      <c r="C6" s="107" t="inlineStr">
        <is>
          <t>说明</t>
        </is>
      </c>
    </row>
    <row r="7">
      <c r="A7" s="111" t="inlineStr">
        <is>
          <t>Case ID</t>
        </is>
      </c>
      <c r="B7" s="113">
        <f>'UBWC寄存器配置'!A13</f>
        <v/>
      </c>
      <c r="C7" s="111" t="inlineStr">
        <is>
          <t>原始 case 编号</t>
        </is>
      </c>
    </row>
    <row r="8">
      <c r="A8" s="111" t="inlineStr">
        <is>
          <t>Use case</t>
        </is>
      </c>
      <c r="B8" s="113">
        <f>'UBWC寄存器配置'!B13</f>
        <v/>
      </c>
      <c r="C8" s="111" t="inlineStr">
        <is>
          <t>原表用途</t>
        </is>
      </c>
    </row>
    <row r="9">
      <c r="A9" s="111" t="inlineStr">
        <is>
          <t>格式</t>
        </is>
      </c>
      <c r="B9" s="113">
        <f>'UBWC寄存器配置'!E13</f>
        <v/>
      </c>
      <c r="C9" s="111" t="inlineStr">
        <is>
          <t>当前配置格式；总览页可下拉修改</t>
        </is>
      </c>
    </row>
    <row r="10">
      <c r="A10" s="111" t="inlineStr">
        <is>
          <t>format_code</t>
        </is>
      </c>
      <c r="B10" s="113">
        <f>'UBWC寄存器配置'!F13</f>
        <v/>
      </c>
      <c r="C10" s="111" t="inlineStr">
        <is>
          <t>写入 OTF/format 字段的格式码</t>
        </is>
      </c>
    </row>
    <row r="11">
      <c r="A11" s="111" t="inlineStr">
        <is>
          <t>原图 W/H</t>
        </is>
      </c>
      <c r="B11" s="113">
        <f>'UBWC寄存器配置'!C13&amp;" x "&amp;'UBWC寄存器配置'!D13</f>
        <v/>
      </c>
      <c r="C11" s="111" t="inlineStr">
        <is>
          <t>真实有效图像尺寸</t>
        </is>
      </c>
    </row>
    <row r="12">
      <c r="A12" s="111" t="inlineStr">
        <is>
          <t>active W/H</t>
        </is>
      </c>
      <c r="B12" s="113">
        <f>'UBWC寄存器配置'!O13&amp;" x "&amp;'UBWC寄存器配置'!P13</f>
        <v/>
      </c>
      <c r="C12" s="111" t="inlineStr">
        <is>
          <t>ENC META_ACTIVE_SIZE / DEC OTF active 使用</t>
        </is>
      </c>
    </row>
    <row r="13">
      <c r="A13" s="111" t="inlineStr">
        <is>
          <t>stored W/H</t>
        </is>
      </c>
      <c r="B13" s="113">
        <f>'UBWC寄存器配置'!Q13&amp;" x "&amp;'UBWC寄存器配置'!R13</f>
        <v/>
      </c>
      <c r="C13" s="111" t="inlineStr">
        <is>
          <t>UBWC layout/tile/meta 使用的对齐后尺寸</t>
        </is>
      </c>
    </row>
    <row r="14">
      <c r="A14" s="111" t="inlineStr">
        <is>
          <t>ENC OTF W/H</t>
        </is>
      </c>
      <c r="B14" s="113">
        <f>'UBWC寄存器配置'!M13&amp;" x "&amp;'UBWC寄存器配置'!N13</f>
        <v/>
      </c>
      <c r="C14" s="111" t="inlineStr">
        <is>
          <t>ENC 输入流尺寸；默认不使用 padding</t>
        </is>
      </c>
    </row>
    <row r="15">
      <c r="A15" s="111" t="inlineStr">
        <is>
          <t>tile W/H</t>
        </is>
      </c>
      <c r="B15" s="113">
        <f>'UBWC寄存器配置'!G13&amp;" x "&amp;'UBWC寄存器配置'!H13</f>
        <v/>
      </c>
      <c r="C15" s="111" t="inlineStr">
        <is>
          <t>由格式决定</t>
        </is>
      </c>
    </row>
    <row r="16">
      <c r="A16" s="111" t="inlineStr">
        <is>
          <t>Y tile cols/rows</t>
        </is>
      </c>
      <c r="B16" s="113">
        <f>'UBWC寄存器配置'!S13&amp;" x "&amp;'UBWC寄存器配置'!T13</f>
        <v/>
      </c>
      <c r="C16" s="111" t="inlineStr">
        <is>
          <t>Y/RGBA plane tile 数</t>
        </is>
      </c>
    </row>
    <row r="17">
      <c r="A17" s="111" t="inlineStr">
        <is>
          <t>UV tile cols</t>
        </is>
      </c>
      <c r="B17" s="113">
        <f>'UBWC寄存器配置'!U13</f>
        <v/>
      </c>
      <c r="C17" s="111" t="inlineStr">
        <is>
          <t>RGBA 为 0；YUV420 与 Y tile cols 相同</t>
        </is>
      </c>
    </row>
    <row r="18">
      <c r="A18" s="111" t="inlineStr">
        <is>
          <t>meta pitch</t>
        </is>
      </c>
      <c r="B18" s="113">
        <f>'UBWC寄存器配置'!V13</f>
        <v/>
      </c>
      <c r="C18" s="111" t="inlineStr">
        <is>
          <t>metadata pitch，按 64B 对齐</t>
        </is>
      </c>
    </row>
    <row r="19">
      <c r="A19" s="111" t="inlineStr">
        <is>
          <t>tile pitch</t>
        </is>
      </c>
      <c r="B19" s="113">
        <f>'UBWC寄存器配置'!W13</f>
        <v/>
      </c>
      <c r="C19" s="111" t="inlineStr">
        <is>
          <t>压缩 tile plane pitch 配置值</t>
        </is>
      </c>
    </row>
    <row r="20"/>
    <row r="21" ht="22" customHeight="1" s="73">
      <c r="A21" s="112" t="inlineStr">
        <is>
          <t>2. ENC 静态寄存器配置</t>
        </is>
      </c>
      <c r="B21" s="112" t="n"/>
      <c r="C21" s="112" t="n"/>
      <c r="D21" s="112" t="n"/>
      <c r="E21" s="112" t="n"/>
      <c r="F21" s="112" t="n"/>
    </row>
    <row r="22">
      <c r="A22" s="107" t="inlineStr">
        <is>
          <t>步骤</t>
        </is>
      </c>
      <c r="B22" s="107" t="inlineStr">
        <is>
          <t>地址</t>
        </is>
      </c>
      <c r="C22" s="107" t="inlineStr">
        <is>
          <t>寄存器</t>
        </is>
      </c>
      <c r="D22" s="107" t="inlineStr">
        <is>
          <t>写入值</t>
        </is>
      </c>
      <c r="E22" s="107" t="inlineStr">
        <is>
          <t>配置频率</t>
        </is>
      </c>
      <c r="F22" s="107" t="inlineStr">
        <is>
          <t>说明</t>
        </is>
      </c>
    </row>
    <row r="23">
      <c r="A23" s="111" t="inlineStr">
        <is>
          <t>1</t>
        </is>
      </c>
      <c r="B23" s="113" t="inlineStr">
        <is>
          <t>0x008</t>
        </is>
      </c>
      <c r="C23" s="111" t="inlineStr">
        <is>
          <t>REG_TILE_CFG0</t>
        </is>
      </c>
      <c r="D23" s="113">
        <f>'UBWC寄存器配置'!AL13</f>
        <v/>
      </c>
      <c r="E23" s="114" t="inlineStr">
        <is>
          <t>图像格式变化时配置</t>
        </is>
      </c>
      <c r="F23" s="114" t="inlineStr">
        <is>
          <t>bank swizzle/bank spread 等固定建议配置</t>
        </is>
      </c>
    </row>
    <row r="24">
      <c r="A24" s="111" t="inlineStr">
        <is>
          <t>2</t>
        </is>
      </c>
      <c r="B24" s="113" t="inlineStr">
        <is>
          <t>0x00C</t>
        </is>
      </c>
      <c r="C24" s="111" t="inlineStr">
        <is>
          <t>REG_TILE_CFG1</t>
        </is>
      </c>
      <c r="D24" s="113">
        <f>'UBWC寄存器配置'!X13</f>
        <v/>
      </c>
      <c r="E24" s="114" t="inlineStr">
        <is>
          <t>图像格式/尺寸变化时配置</t>
        </is>
      </c>
      <c r="F24" s="114" t="inlineStr">
        <is>
          <t>tile_pitch 和 RGBA/YUV plane 类型相关配置</t>
        </is>
      </c>
    </row>
    <row r="25">
      <c r="A25" s="111" t="inlineStr">
        <is>
          <t>3</t>
        </is>
      </c>
      <c r="B25" s="113" t="inlineStr">
        <is>
          <t>0x010</t>
        </is>
      </c>
      <c r="C25" s="111" t="inlineStr">
        <is>
          <t>REG_ENC_CI_CFG0</t>
        </is>
      </c>
      <c r="D25" s="113" t="inlineStr">
        <is>
          <t>0x00000701</t>
        </is>
      </c>
      <c r="E25" s="114" t="inlineStr">
        <is>
          <t>图像格式变化时配置</t>
        </is>
      </c>
      <c r="F25" s="114" t="inlineStr">
        <is>
          <t>CI input type=1(tiled data)，CI alen 默认 7</t>
        </is>
      </c>
    </row>
    <row r="26">
      <c r="A26" s="111" t="inlineStr">
        <is>
          <t>4</t>
        </is>
      </c>
      <c r="B26" s="113" t="inlineStr">
        <is>
          <t>0x020</t>
        </is>
      </c>
      <c r="C26" s="111" t="inlineStr">
        <is>
          <t>REG_OTF_CFG0</t>
        </is>
      </c>
      <c r="D26" s="113">
        <f>'UBWC寄存器配置'!Y13</f>
        <v/>
      </c>
      <c r="E26" s="114" t="inlineStr">
        <is>
          <t>图像格式变化时配置</t>
        </is>
      </c>
      <c r="F26" s="114" t="inlineStr">
        <is>
          <t>ENC OTF 输入 format</t>
        </is>
      </c>
    </row>
    <row r="27">
      <c r="A27" s="111" t="inlineStr">
        <is>
          <t>5</t>
        </is>
      </c>
      <c r="B27" s="113" t="inlineStr">
        <is>
          <t>0x024</t>
        </is>
      </c>
      <c r="C27" s="111" t="inlineStr">
        <is>
          <t>REG_OTF_CFG1</t>
        </is>
      </c>
      <c r="D27" s="113">
        <f>'UBWC寄存器配置'!Z13</f>
        <v/>
      </c>
      <c r="E27" s="114" t="inlineStr">
        <is>
          <t>图像尺寸变化时配置</t>
        </is>
      </c>
      <c r="F27" s="114" t="inlineStr">
        <is>
          <t>ENC OTF 输入 width/height；若总览选择 padding，则这里用 padding W/H</t>
        </is>
      </c>
    </row>
    <row r="28">
      <c r="A28" s="111" t="inlineStr">
        <is>
          <t>6</t>
        </is>
      </c>
      <c r="B28" s="113" t="inlineStr">
        <is>
          <t>0x028</t>
        </is>
      </c>
      <c r="C28" s="111" t="inlineStr">
        <is>
          <t>REG_OTF_CFG2</t>
        </is>
      </c>
      <c r="D28" s="113">
        <f>'UBWC寄存器配置'!AA13</f>
        <v/>
      </c>
      <c r="E28" s="114" t="inlineStr">
        <is>
          <t>图像格式变化时配置</t>
        </is>
      </c>
      <c r="F28" s="114" t="inlineStr">
        <is>
          <t>tile_w/tile_h</t>
        </is>
      </c>
    </row>
    <row r="29">
      <c r="A29" s="111" t="inlineStr">
        <is>
          <t>7</t>
        </is>
      </c>
      <c r="B29" s="113" t="inlineStr">
        <is>
          <t>0x02C</t>
        </is>
      </c>
      <c r="C29" s="111" t="inlineStr">
        <is>
          <t>REG_OTF_CFG3</t>
        </is>
      </c>
      <c r="D29" s="113">
        <f>'UBWC寄存器配置'!AB13</f>
        <v/>
      </c>
      <c r="E29" s="114" t="inlineStr">
        <is>
          <t>图像尺寸变化时配置</t>
        </is>
      </c>
      <c r="F29" s="114" t="inlineStr">
        <is>
          <t>Y/UV tile cols；RGBA 的 UV 侧为 0</t>
        </is>
      </c>
    </row>
    <row r="30">
      <c r="A30" s="111" t="inlineStr">
        <is>
          <t>8</t>
        </is>
      </c>
      <c r="B30" s="113" t="inlineStr">
        <is>
          <t>0x050</t>
        </is>
      </c>
      <c r="C30" s="111" t="inlineStr">
        <is>
          <t>REG_META_ACTIVE_SIZE</t>
        </is>
      </c>
      <c r="D30" s="113">
        <f>'UBWC寄存器配置'!AC13</f>
        <v/>
      </c>
      <c r="E30" s="114" t="inlineStr">
        <is>
          <t>图像有效尺寸变化时配置</t>
        </is>
      </c>
      <c r="F30" s="114" t="inlineStr">
        <is>
          <t>真实 active W/H，不使用 padding W/H</t>
        </is>
      </c>
    </row>
    <row r="31">
      <c r="A31" s="111" t="inlineStr">
        <is>
          <t>9</t>
        </is>
      </c>
      <c r="B31" s="113" t="inlineStr">
        <is>
          <t>0x054</t>
        </is>
      </c>
      <c r="C31" s="111" t="inlineStr">
        <is>
          <t>REG_META_PITCH</t>
        </is>
      </c>
      <c r="D31" s="113">
        <f>'UBWC寄存器配置'!AD13</f>
        <v/>
      </c>
      <c r="E31" s="114" t="inlineStr">
        <is>
          <t>图像尺寸变化时配置</t>
        </is>
      </c>
      <c r="F31" s="114" t="inlineStr">
        <is>
          <t>metadata plane pitch</t>
        </is>
      </c>
    </row>
    <row r="32">
      <c r="A32" s="111" t="inlineStr">
        <is>
          <t>10</t>
        </is>
      </c>
      <c r="B32" s="113" t="inlineStr">
        <is>
          <t>0x060</t>
        </is>
      </c>
      <c r="C32" s="111" t="inlineStr">
        <is>
          <t>REG_IRQ_CTRL</t>
        </is>
      </c>
      <c r="D32" s="113" t="inlineStr">
        <is>
          <t>0x00000001</t>
        </is>
      </c>
      <c r="E32" s="114" t="inlineStr">
        <is>
          <t>上电后或中断策略变化时配置</t>
        </is>
      </c>
      <c r="F32" s="114" t="inlineStr">
        <is>
          <t>bit0 irq_enable=1；bit6 可按需配置 vsync reset enable</t>
        </is>
      </c>
    </row>
    <row r="33"/>
    <row r="34" ht="22" customHeight="1" s="73">
      <c r="A34" s="112" t="inlineStr">
        <is>
          <t>3. ENC 每帧地址与启动</t>
        </is>
      </c>
      <c r="B34" s="112" t="n"/>
      <c r="C34" s="112" t="n"/>
      <c r="D34" s="112" t="n"/>
      <c r="E34" s="112" t="n"/>
      <c r="F34" s="112" t="n"/>
    </row>
    <row r="35">
      <c r="A35" s="115" t="inlineStr">
        <is>
          <t>步骤</t>
        </is>
      </c>
      <c r="B35" s="115" t="inlineStr">
        <is>
          <t>地址</t>
        </is>
      </c>
      <c r="C35" s="115" t="inlineStr">
        <is>
          <t>寄存器/字段</t>
        </is>
      </c>
      <c r="D35" s="115" t="inlineStr">
        <is>
          <t>写入值</t>
        </is>
      </c>
      <c r="E35" s="115" t="inlineStr">
        <is>
          <t>配置频率</t>
        </is>
      </c>
      <c r="F35" s="115" t="inlineStr">
        <is>
          <t>说明</t>
        </is>
      </c>
    </row>
    <row r="36">
      <c r="A36" s="111" t="inlineStr">
        <is>
          <t>1</t>
        </is>
      </c>
      <c r="B36" s="113" t="inlineStr">
        <is>
          <t>0x030</t>
        </is>
      </c>
      <c r="C36" s="111" t="inlineStr">
        <is>
          <t>REG_META_BASE_Y_LO</t>
        </is>
      </c>
      <c r="D36" s="113" t="inlineStr">
        <is>
          <t>&lt;meta_y_base[31:0]&gt;</t>
        </is>
      </c>
      <c r="E36" s="114" t="inlineStr">
        <is>
          <t>每帧配置</t>
        </is>
      </c>
      <c r="F36" s="114" t="inlineStr">
        <is>
          <t>压缩后 Y/RGBA metadata 存储基地址低 32 bit</t>
        </is>
      </c>
    </row>
    <row r="37">
      <c r="A37" s="111" t="inlineStr">
        <is>
          <t>2</t>
        </is>
      </c>
      <c r="B37" s="113" t="inlineStr">
        <is>
          <t>0x034</t>
        </is>
      </c>
      <c r="C37" s="111" t="inlineStr">
        <is>
          <t>REG_META_BASE_Y_HI</t>
        </is>
      </c>
      <c r="D37" s="113" t="inlineStr">
        <is>
          <t>&lt;meta_y_base[63:32]&gt;</t>
        </is>
      </c>
      <c r="E37" s="114" t="inlineStr">
        <is>
          <t>每帧配置</t>
        </is>
      </c>
      <c r="F37" s="114" t="inlineStr">
        <is>
          <t>压缩后 Y/RGBA metadata 存储基地址高 32 bit</t>
        </is>
      </c>
    </row>
    <row r="38">
      <c r="A38" s="111" t="inlineStr">
        <is>
          <t>3</t>
        </is>
      </c>
      <c r="B38" s="113" t="inlineStr">
        <is>
          <t>0x038</t>
        </is>
      </c>
      <c r="C38" s="111" t="inlineStr">
        <is>
          <t>REG_TILE_BASE_Y_LO</t>
        </is>
      </c>
      <c r="D38" s="113" t="inlineStr">
        <is>
          <t>&lt;tile_y_base[31:0]&gt;</t>
        </is>
      </c>
      <c r="E38" s="114" t="inlineStr">
        <is>
          <t>每帧配置</t>
        </is>
      </c>
      <c r="F38" s="114" t="inlineStr">
        <is>
          <t>压缩后 Y/RGBA tile 数据存储基地址低 32 bit</t>
        </is>
      </c>
    </row>
    <row r="39">
      <c r="A39" s="111" t="inlineStr">
        <is>
          <t>4</t>
        </is>
      </c>
      <c r="B39" s="113" t="inlineStr">
        <is>
          <t>0x03C</t>
        </is>
      </c>
      <c r="C39" s="111" t="inlineStr">
        <is>
          <t>REG_TILE_BASE_Y_HI</t>
        </is>
      </c>
      <c r="D39" s="113" t="inlineStr">
        <is>
          <t>&lt;tile_y_base[63:32]&gt;</t>
        </is>
      </c>
      <c r="E39" s="114" t="inlineStr">
        <is>
          <t>每帧配置</t>
        </is>
      </c>
      <c r="F39" s="114" t="inlineStr">
        <is>
          <t>压缩后 Y/RGBA tile 数据存储基地址高 32 bit</t>
        </is>
      </c>
    </row>
    <row r="40">
      <c r="A40" s="111" t="inlineStr">
        <is>
          <t>5</t>
        </is>
      </c>
      <c r="B40" s="113" t="inlineStr">
        <is>
          <t>0x040</t>
        </is>
      </c>
      <c r="C40" s="111" t="inlineStr">
        <is>
          <t>REG_META_BASE_UV_LO</t>
        </is>
      </c>
      <c r="D40" s="113" t="inlineStr">
        <is>
          <t>&lt;meta_uv_base[31:0]&gt;</t>
        </is>
      </c>
      <c r="E40" s="114" t="inlineStr">
        <is>
          <t>每帧配置</t>
        </is>
      </c>
      <c r="F40" s="114" t="inlineStr">
        <is>
          <t>UV metadata 存储基地址低 32 bit；RGBA 可写 0</t>
        </is>
      </c>
    </row>
    <row r="41">
      <c r="A41" s="111" t="inlineStr">
        <is>
          <t>6</t>
        </is>
      </c>
      <c r="B41" s="113" t="inlineStr">
        <is>
          <t>0x044</t>
        </is>
      </c>
      <c r="C41" s="111" t="inlineStr">
        <is>
          <t>REG_META_BASE_UV_HI</t>
        </is>
      </c>
      <c r="D41" s="113" t="inlineStr">
        <is>
          <t>&lt;meta_uv_base[63:32]&gt;</t>
        </is>
      </c>
      <c r="E41" s="114" t="inlineStr">
        <is>
          <t>每帧配置</t>
        </is>
      </c>
      <c r="F41" s="114" t="inlineStr">
        <is>
          <t>UV metadata 存储基地址高 32 bit；RGBA 可写 0</t>
        </is>
      </c>
    </row>
    <row r="42">
      <c r="A42" s="111" t="inlineStr">
        <is>
          <t>7</t>
        </is>
      </c>
      <c r="B42" s="113" t="inlineStr">
        <is>
          <t>0x048</t>
        </is>
      </c>
      <c r="C42" s="111" t="inlineStr">
        <is>
          <t>REG_TILE_BASE_UV_LO</t>
        </is>
      </c>
      <c r="D42" s="113" t="inlineStr">
        <is>
          <t>&lt;tile_uv_base[31:0]&gt;</t>
        </is>
      </c>
      <c r="E42" s="114" t="inlineStr">
        <is>
          <t>每帧配置</t>
        </is>
      </c>
      <c r="F42" s="114" t="inlineStr">
        <is>
          <t>UV tile 数据存储基地址低 32 bit；RGBA 可写 0</t>
        </is>
      </c>
    </row>
    <row r="43">
      <c r="A43" s="111" t="inlineStr">
        <is>
          <t>8</t>
        </is>
      </c>
      <c r="B43" s="113" t="inlineStr">
        <is>
          <t>0x04C</t>
        </is>
      </c>
      <c r="C43" s="111" t="inlineStr">
        <is>
          <t>REG_TILE_BASE_UV_HI</t>
        </is>
      </c>
      <c r="D43" s="113" t="inlineStr">
        <is>
          <t>&lt;tile_uv_base[63:32]&gt;</t>
        </is>
      </c>
      <c r="E43" s="114" t="inlineStr">
        <is>
          <t>每帧配置</t>
        </is>
      </c>
      <c r="F43" s="114" t="inlineStr">
        <is>
          <t>UV tile 数据存储基地址高 32 bit；写该 high word 后提交地址组</t>
        </is>
      </c>
    </row>
    <row r="44">
      <c r="A44" s="111" t="inlineStr">
        <is>
          <t>9</t>
        </is>
      </c>
      <c r="B44" s="113" t="inlineStr">
        <is>
          <t>0x060</t>
        </is>
      </c>
      <c r="C44" s="111" t="inlineStr">
        <is>
          <t>REG_IRQ_CTRL[5]</t>
        </is>
      </c>
      <c r="D44" s="113" t="inlineStr">
        <is>
          <t>0x00000020</t>
        </is>
      </c>
      <c r="E44" s="114" t="inlineStr">
        <is>
          <t>每帧配置</t>
        </is>
      </c>
      <c r="F44" s="114" t="inlineStr">
        <is>
          <t>写 start token，启动当前帧地址组</t>
        </is>
      </c>
    </row>
    <row r="45"/>
    <row r="46"/>
    <row r="47" ht="22" customHeight="1" s="73">
      <c r="A47" s="112" t="inlineStr">
        <is>
          <t>4. DEC 静态寄存器配置</t>
        </is>
      </c>
      <c r="B47" s="112" t="n"/>
      <c r="C47" s="112" t="n"/>
      <c r="D47" s="112" t="n"/>
      <c r="E47" s="112" t="n"/>
      <c r="F47" s="112" t="n"/>
    </row>
    <row r="48">
      <c r="A48" s="107" t="inlineStr">
        <is>
          <t>步骤</t>
        </is>
      </c>
      <c r="B48" s="107" t="inlineStr">
        <is>
          <t>地址</t>
        </is>
      </c>
      <c r="C48" s="107" t="inlineStr">
        <is>
          <t>寄存器</t>
        </is>
      </c>
      <c r="D48" s="107" t="inlineStr">
        <is>
          <t>写入值</t>
        </is>
      </c>
      <c r="E48" s="107" t="inlineStr">
        <is>
          <t>配置频率</t>
        </is>
      </c>
      <c r="F48" s="107" t="inlineStr">
        <is>
          <t>说明</t>
        </is>
      </c>
    </row>
    <row r="49">
      <c r="A49" s="111" t="inlineStr">
        <is>
          <t>1</t>
        </is>
      </c>
      <c r="B49" s="113" t="inlineStr">
        <is>
          <t>0x008</t>
        </is>
      </c>
      <c r="C49" s="111" t="inlineStr">
        <is>
          <t>APB_ADDR_TILE_CFG0</t>
        </is>
      </c>
      <c r="D49" s="113">
        <f>'UBWC寄存器配置'!AM13</f>
        <v/>
      </c>
      <c r="E49" s="114" t="inlineStr">
        <is>
          <t>图像格式变化时配置</t>
        </is>
      </c>
      <c r="F49" s="114" t="inlineStr">
        <is>
          <t>bank swizzle/bank spread 等固定建议配置</t>
        </is>
      </c>
    </row>
    <row r="50">
      <c r="A50" s="111" t="inlineStr">
        <is>
          <t>2</t>
        </is>
      </c>
      <c r="B50" s="113" t="inlineStr">
        <is>
          <t>0x00C</t>
        </is>
      </c>
      <c r="C50" s="111" t="inlineStr">
        <is>
          <t>APB_ADDR_TILE_CFG1</t>
        </is>
      </c>
      <c r="D50" s="113">
        <f>'UBWC寄存器配置'!AE13</f>
        <v/>
      </c>
      <c r="E50" s="114" t="inlineStr">
        <is>
          <t>图像尺寸变化时配置</t>
        </is>
      </c>
      <c r="F50" s="114" t="inlineStr">
        <is>
          <t>tile pitch</t>
        </is>
      </c>
    </row>
    <row r="51">
      <c r="A51" s="111" t="inlineStr">
        <is>
          <t>3</t>
        </is>
      </c>
      <c r="B51" s="113" t="inlineStr">
        <is>
          <t>0x010</t>
        </is>
      </c>
      <c r="C51" s="111" t="inlineStr">
        <is>
          <t>APB_ADDR_TILE_CFG2</t>
        </is>
      </c>
      <c r="D51" s="113" t="inlineStr">
        <is>
          <t>0x00000001</t>
        </is>
      </c>
      <c r="E51" s="114" t="inlineStr">
        <is>
          <t>图像格式变化时配置</t>
        </is>
      </c>
      <c r="F51" s="114" t="inlineStr">
        <is>
          <t>CI input type=1(tiled data)</t>
        </is>
      </c>
    </row>
    <row r="52">
      <c r="A52" s="111" t="inlineStr">
        <is>
          <t>4</t>
        </is>
      </c>
      <c r="B52" s="113" t="inlineStr">
        <is>
          <t>0x014</t>
        </is>
      </c>
      <c r="C52" s="111" t="inlineStr">
        <is>
          <t>APB_ADDR_VIVO_CFG</t>
        </is>
      </c>
      <c r="D52" s="113" t="inlineStr">
        <is>
          <t>0x00000001</t>
        </is>
      </c>
      <c r="E52" s="114" t="inlineStr">
        <is>
          <t>上电后一次或 reset 策略变化时配置</t>
        </is>
      </c>
      <c r="F52" s="114" t="inlineStr">
        <is>
          <t>VIVO decode enable</t>
        </is>
      </c>
    </row>
    <row r="53">
      <c r="A53" s="111" t="inlineStr">
        <is>
          <t>5</t>
        </is>
      </c>
      <c r="B53" s="113" t="inlineStr">
        <is>
          <t>0x018</t>
        </is>
      </c>
      <c r="C53" s="111" t="inlineStr">
        <is>
          <t>APB_ADDR_OTF_CFG0</t>
        </is>
      </c>
      <c r="D53" s="113">
        <f>'UBWC寄存器配置'!AF13</f>
        <v/>
      </c>
      <c r="E53" s="114" t="inlineStr">
        <is>
          <t>图像格式/active宽度变化时配置</t>
        </is>
      </c>
      <c r="F53" s="114" t="inlineStr">
        <is>
          <t>output OTF format + active image width</t>
        </is>
      </c>
    </row>
    <row r="54">
      <c r="A54" s="111" t="inlineStr">
        <is>
          <t>6</t>
        </is>
      </c>
      <c r="B54" s="113" t="inlineStr">
        <is>
          <t>0x01C</t>
        </is>
      </c>
      <c r="C54" s="111" t="inlineStr">
        <is>
          <t>APB_ADDR_OTF_CFG1</t>
        </is>
      </c>
      <c r="D54" s="113">
        <f>'UBWC寄存器配置'!AG13</f>
        <v/>
      </c>
      <c r="E54" s="114" t="inlineStr">
        <is>
          <t>OTF timing 变化时配置</t>
        </is>
      </c>
      <c r="F54" s="114" t="inlineStr">
        <is>
          <t>H_TOTAL/H_SYNC；示例按 active width 填最小 timing</t>
        </is>
      </c>
    </row>
    <row r="55">
      <c r="A55" s="111" t="inlineStr">
        <is>
          <t>7</t>
        </is>
      </c>
      <c r="B55" s="113" t="inlineStr">
        <is>
          <t>0x020</t>
        </is>
      </c>
      <c r="C55" s="111" t="inlineStr">
        <is>
          <t>APB_ADDR_OTF_CFG2</t>
        </is>
      </c>
      <c r="D55" s="113">
        <f>'UBWC寄存器配置'!AH13</f>
        <v/>
      </c>
      <c r="E55" s="114" t="inlineStr">
        <is>
          <t>OTF timing 变化时配置</t>
        </is>
      </c>
      <c r="F55" s="114" t="inlineStr">
        <is>
          <t>H_BP/H_ACT；H_ACT 使用 active width</t>
        </is>
      </c>
    </row>
    <row r="56">
      <c r="A56" s="111" t="inlineStr">
        <is>
          <t>8</t>
        </is>
      </c>
      <c r="B56" s="113" t="inlineStr">
        <is>
          <t>0x024</t>
        </is>
      </c>
      <c r="C56" s="111" t="inlineStr">
        <is>
          <t>APB_ADDR_OTF_CFG3</t>
        </is>
      </c>
      <c r="D56" s="113">
        <f>'UBWC寄存器配置'!AI13</f>
        <v/>
      </c>
      <c r="E56" s="114" t="inlineStr">
        <is>
          <t>OTF timing 变化时配置</t>
        </is>
      </c>
      <c r="F56" s="114" t="inlineStr">
        <is>
          <t>V_TOTAL/V_SYNC；示例按 active height 填最小 timing</t>
        </is>
      </c>
    </row>
    <row r="57">
      <c r="A57" s="111" t="inlineStr">
        <is>
          <t>9</t>
        </is>
      </c>
      <c r="B57" s="113" t="inlineStr">
        <is>
          <t>0x028</t>
        </is>
      </c>
      <c r="C57" s="111" t="inlineStr">
        <is>
          <t>APB_ADDR_OTF_CFG4</t>
        </is>
      </c>
      <c r="D57" s="113">
        <f>'UBWC寄存器配置'!AJ13</f>
        <v/>
      </c>
      <c r="E57" s="114" t="inlineStr">
        <is>
          <t>OTF timing 变化时配置</t>
        </is>
      </c>
      <c r="F57" s="114" t="inlineStr">
        <is>
          <t>V_BP/V_ACT；V_ACT 使用 active height，不用 stored_h</t>
        </is>
      </c>
    </row>
    <row r="58">
      <c r="A58" s="111" t="inlineStr">
        <is>
          <t>10</t>
        </is>
      </c>
      <c r="B58" s="113" t="inlineStr">
        <is>
          <t>0x02C</t>
        </is>
      </c>
      <c r="C58" s="111" t="inlineStr">
        <is>
          <t>APB_ADDR_META_CFG0</t>
        </is>
      </c>
      <c r="D58" s="113">
        <f>'UBWC寄存器配置'!AK13</f>
        <v/>
      </c>
      <c r="E58" s="114" t="inlineStr">
        <is>
          <t>图像尺寸变化时配置</t>
        </is>
      </c>
      <c r="F58" s="114" t="inlineStr">
        <is>
          <t>metadata tile_x/tile_y count，使用 stored/layout tile rows</t>
        </is>
      </c>
    </row>
    <row r="59">
      <c r="A59" s="111" t="inlineStr">
        <is>
          <t>11</t>
        </is>
      </c>
      <c r="B59" s="113" t="inlineStr">
        <is>
          <t>0x060</t>
        </is>
      </c>
      <c r="C59" s="111" t="inlineStr">
        <is>
          <t>APB_ADDR_IRQ_CTRL</t>
        </is>
      </c>
      <c r="D59" s="113" t="inlineStr">
        <is>
          <t>0x00000001</t>
        </is>
      </c>
      <c r="E59" s="114" t="inlineStr">
        <is>
          <t>上电后或中断策略变化时配置</t>
        </is>
      </c>
      <c r="F59" s="114" t="inlineStr">
        <is>
          <t>bit0 irq_enable=1</t>
        </is>
      </c>
    </row>
    <row r="60"/>
    <row r="61"/>
    <row r="62" ht="22" customHeight="1" s="73">
      <c r="A62" s="112" t="inlineStr">
        <is>
          <t>5. DEC 每帧地址与启动</t>
        </is>
      </c>
      <c r="B62" s="112" t="n"/>
      <c r="C62" s="112" t="n"/>
      <c r="D62" s="112" t="n"/>
      <c r="E62" s="112" t="n"/>
      <c r="F62" s="112" t="n"/>
    </row>
    <row r="63">
      <c r="A63" s="115" t="inlineStr">
        <is>
          <t>步骤</t>
        </is>
      </c>
      <c r="B63" s="115" t="inlineStr">
        <is>
          <t>地址</t>
        </is>
      </c>
      <c r="C63" s="115" t="inlineStr">
        <is>
          <t>寄存器/字段</t>
        </is>
      </c>
      <c r="D63" s="115" t="inlineStr">
        <is>
          <t>写入值</t>
        </is>
      </c>
      <c r="E63" s="115" t="inlineStr">
        <is>
          <t>配置频率</t>
        </is>
      </c>
      <c r="F63" s="115" t="inlineStr">
        <is>
          <t>说明</t>
        </is>
      </c>
    </row>
    <row r="64">
      <c r="A64" s="111" t="inlineStr">
        <is>
          <t>1</t>
        </is>
      </c>
      <c r="B64" s="113" t="inlineStr">
        <is>
          <t>0x030</t>
        </is>
      </c>
      <c r="C64" s="111" t="inlineStr">
        <is>
          <t>REG_META_BASE_Y_LO</t>
        </is>
      </c>
      <c r="D64" s="113" t="inlineStr">
        <is>
          <t>&lt;meta_y_base[31:0]&gt;</t>
        </is>
      </c>
      <c r="E64" s="114" t="inlineStr">
        <is>
          <t>每帧配置</t>
        </is>
      </c>
      <c r="F64" s="114" t="inlineStr">
        <is>
          <t>输入 UBWC Y/RGBA metadata 读取基地址低 32 bit</t>
        </is>
      </c>
    </row>
    <row r="65">
      <c r="A65" s="111" t="inlineStr">
        <is>
          <t>2</t>
        </is>
      </c>
      <c r="B65" s="113" t="inlineStr">
        <is>
          <t>0x034</t>
        </is>
      </c>
      <c r="C65" s="111" t="inlineStr">
        <is>
          <t>REG_META_BASE_Y_HI</t>
        </is>
      </c>
      <c r="D65" s="113" t="inlineStr">
        <is>
          <t>&lt;meta_y_base[63:32]&gt;</t>
        </is>
      </c>
      <c r="E65" s="114" t="inlineStr">
        <is>
          <t>每帧配置</t>
        </is>
      </c>
      <c r="F65" s="114" t="inlineStr">
        <is>
          <t>输入 UBWC Y/RGBA metadata 读取基地址高 32 bit</t>
        </is>
      </c>
    </row>
    <row r="66">
      <c r="A66" s="111" t="inlineStr">
        <is>
          <t>3</t>
        </is>
      </c>
      <c r="B66" s="113" t="inlineStr">
        <is>
          <t>0x038</t>
        </is>
      </c>
      <c r="C66" s="111" t="inlineStr">
        <is>
          <t>REG_TILE_BASE_Y_LO</t>
        </is>
      </c>
      <c r="D66" s="113" t="inlineStr">
        <is>
          <t>&lt;tile_y_base[31:0]&gt;</t>
        </is>
      </c>
      <c r="E66" s="114" t="inlineStr">
        <is>
          <t>每帧配置</t>
        </is>
      </c>
      <c r="F66" s="114" t="inlineStr">
        <is>
          <t>输入 UBWC Y/RGBA tile 数据读取基地址低 32 bit</t>
        </is>
      </c>
    </row>
    <row r="67">
      <c r="A67" s="111" t="inlineStr">
        <is>
          <t>4</t>
        </is>
      </c>
      <c r="B67" s="113" t="inlineStr">
        <is>
          <t>0x03C</t>
        </is>
      </c>
      <c r="C67" s="111" t="inlineStr">
        <is>
          <t>REG_TILE_BASE_Y_HI</t>
        </is>
      </c>
      <c r="D67" s="113" t="inlineStr">
        <is>
          <t>&lt;tile_y_base[63:32]&gt;</t>
        </is>
      </c>
      <c r="E67" s="114" t="inlineStr">
        <is>
          <t>每帧配置</t>
        </is>
      </c>
      <c r="F67" s="114" t="inlineStr">
        <is>
          <t>输入 UBWC Y/RGBA tile 数据读取基地址高 32 bit</t>
        </is>
      </c>
    </row>
    <row r="68">
      <c r="A68" s="111" t="inlineStr">
        <is>
          <t>5</t>
        </is>
      </c>
      <c r="B68" s="113" t="inlineStr">
        <is>
          <t>0x040</t>
        </is>
      </c>
      <c r="C68" s="111" t="inlineStr">
        <is>
          <t>REG_META_BASE_UV_LO</t>
        </is>
      </c>
      <c r="D68" s="113" t="inlineStr">
        <is>
          <t>&lt;meta_uv_base[31:0]&gt;</t>
        </is>
      </c>
      <c r="E68" s="114" t="inlineStr">
        <is>
          <t>每帧配置</t>
        </is>
      </c>
      <c r="F68" s="114" t="inlineStr">
        <is>
          <t>输入 UBWC UV metadata 读取基地址低 32 bit；RGBA 可写 0</t>
        </is>
      </c>
    </row>
    <row r="69">
      <c r="A69" s="111" t="inlineStr">
        <is>
          <t>6</t>
        </is>
      </c>
      <c r="B69" s="113" t="inlineStr">
        <is>
          <t>0x044</t>
        </is>
      </c>
      <c r="C69" s="111" t="inlineStr">
        <is>
          <t>REG_META_BASE_UV_HI</t>
        </is>
      </c>
      <c r="D69" s="113" t="inlineStr">
        <is>
          <t>&lt;meta_uv_base[63:32]&gt;</t>
        </is>
      </c>
      <c r="E69" s="114" t="inlineStr">
        <is>
          <t>每帧配置</t>
        </is>
      </c>
      <c r="F69" s="114" t="inlineStr">
        <is>
          <t>输入 UBWC UV metadata 读取基地址高 32 bit；RGBA 可写 0</t>
        </is>
      </c>
    </row>
    <row r="70">
      <c r="A70" s="111" t="inlineStr">
        <is>
          <t>7</t>
        </is>
      </c>
      <c r="B70" s="113" t="inlineStr">
        <is>
          <t>0x048</t>
        </is>
      </c>
      <c r="C70" s="111" t="inlineStr">
        <is>
          <t>REG_TILE_BASE_UV_LO</t>
        </is>
      </c>
      <c r="D70" s="113" t="inlineStr">
        <is>
          <t>&lt;tile_uv_base[31:0]&gt;</t>
        </is>
      </c>
      <c r="E70" s="114" t="inlineStr">
        <is>
          <t>每帧配置</t>
        </is>
      </c>
      <c r="F70" s="114" t="inlineStr">
        <is>
          <t>输入 UBWC UV tile 数据读取基地址低 32 bit；RGBA 可写 0</t>
        </is>
      </c>
    </row>
    <row r="71">
      <c r="A71" s="111" t="inlineStr">
        <is>
          <t>8</t>
        </is>
      </c>
      <c r="B71" s="113" t="inlineStr">
        <is>
          <t>0x04C</t>
        </is>
      </c>
      <c r="C71" s="111" t="inlineStr">
        <is>
          <t>REG_TILE_BASE_UV_HI</t>
        </is>
      </c>
      <c r="D71" s="113" t="inlineStr">
        <is>
          <t>&lt;tile_uv_base[63:32]&gt;</t>
        </is>
      </c>
      <c r="E71" s="114" t="inlineStr">
        <is>
          <t>每帧配置</t>
        </is>
      </c>
      <c r="F71" s="114" t="inlineStr">
        <is>
          <t>输入 UBWC UV tile 数据读取基地址高 32 bit；完整地址组写完后等待 start</t>
        </is>
      </c>
    </row>
    <row r="72">
      <c r="A72" s="111" t="inlineStr">
        <is>
          <t>9</t>
        </is>
      </c>
      <c r="B72" s="113" t="inlineStr">
        <is>
          <t>0x060</t>
        </is>
      </c>
      <c r="C72" s="111" t="inlineStr">
        <is>
          <t>APB_ADDR_IRQ_CTRL[5]</t>
        </is>
      </c>
      <c r="D72" s="113" t="inlineStr">
        <is>
          <t>0x00000020</t>
        </is>
      </c>
      <c r="E72" s="114" t="inlineStr">
        <is>
          <t>每帧配置</t>
        </is>
      </c>
      <c r="F72" s="114" t="inlineStr">
        <is>
          <t>写 start token；地址组和 start token 都有效后启动 decode</t>
        </is>
      </c>
    </row>
    <row r="73"/>
    <row r="74"/>
    <row r="75" ht="22" customHeight="1" s="73">
      <c r="A75" s="112" t="inlineStr">
        <is>
          <t>6. 计算说明</t>
        </is>
      </c>
      <c r="B75" s="112" t="n"/>
      <c r="C75" s="112" t="n"/>
      <c r="D75" s="112" t="n"/>
      <c r="E75" s="112" t="n"/>
      <c r="F75" s="112" t="n"/>
    </row>
    <row r="76">
      <c r="A76" s="116" t="inlineStr">
        <is>
          <t>项目</t>
        </is>
      </c>
      <c r="B76" s="116" t="inlineStr">
        <is>
          <t>公式/来源</t>
        </is>
      </c>
      <c r="C76" s="116" t="inlineStr">
        <is>
          <t>说明</t>
        </is>
      </c>
    </row>
    <row r="77">
      <c r="A77" s="111" t="inlineStr">
        <is>
          <t>active_W/H</t>
        </is>
      </c>
      <c r="B77" s="113" t="inlineStr">
        <is>
          <t>原图真实有效宽高</t>
        </is>
      </c>
      <c r="C77" s="111" t="inlineStr">
        <is>
          <t>软件可见图像有效范围；ENC META_ACTIVE_SIZE 和 DEC OTF H_ACT/V_ACT 使用该值。</t>
        </is>
      </c>
    </row>
    <row r="78">
      <c r="A78" s="111" t="inlineStr">
        <is>
          <t>stored_W</t>
        </is>
      </c>
      <c r="B78" s="113">
        <f> max(原表 padding_W, ceil(active_W, tile_w*4))</f>
        <v/>
      </c>
      <c r="C78" s="111" t="inlineStr">
        <is>
          <t>用于 UBWC tile/meta/layout；不是 DEC OTF 输出有效宽度。</t>
        </is>
      </c>
    </row>
    <row r="79">
      <c r="A79" s="111" t="inlineStr">
        <is>
          <t>stored_H</t>
        </is>
      </c>
      <c r="B79" s="113">
        <f> max(原表 padding_H, ceil(active_H, tile_h*4))</f>
        <v/>
      </c>
      <c r="C79" s="111" t="inlineStr">
        <is>
          <t>用于 UBWC tile/meta/layout；不是 DEC OTF 输出有效高度。</t>
        </is>
      </c>
    </row>
    <row r="80">
      <c r="A80" s="111" t="inlineStr">
        <is>
          <t>Y_tile_cols</t>
        </is>
      </c>
      <c r="B80" s="113">
        <f> stored_W / tile_w</f>
        <v/>
      </c>
      <c r="C80" s="111" t="inlineStr">
        <is>
          <t>RGBA/Y plane 横向 tile 数。</t>
        </is>
      </c>
    </row>
    <row r="81">
      <c r="A81" s="111" t="inlineStr">
        <is>
          <t>Y_tile_rows</t>
        </is>
      </c>
      <c r="B81" s="113">
        <f> stored_H / tile_h</f>
        <v/>
      </c>
      <c r="C81" s="111" t="inlineStr">
        <is>
          <t>RGBA/Y plane 纵向 tile 数。</t>
        </is>
      </c>
    </row>
    <row r="82">
      <c r="A82" s="111" t="inlineStr">
        <is>
          <t>meta_pitch</t>
        </is>
      </c>
      <c r="B82" s="113">
        <f> ceil(Y_tile_cols, 64)</f>
        <v/>
      </c>
      <c r="C82" s="111" t="inlineStr">
        <is>
          <t>metadata pitch 按 64B 对齐。</t>
        </is>
      </c>
    </row>
    <row r="83">
      <c r="A83" s="111" t="inlineStr">
        <is>
          <t>tile_pitch</t>
        </is>
      </c>
      <c r="B83" s="113">
        <f> stored_W * bpp / 16</f>
        <v/>
      </c>
      <c r="C83" s="111" t="inlineStr">
        <is>
          <t>本表按 RTL 当前寄存器语义生成配置值。</t>
        </is>
      </c>
    </row>
    <row r="84">
      <c r="A84" s="111" t="inlineStr">
        <is>
          <t>DEC p_v_act / V_ACT</t>
        </is>
      </c>
      <c r="B84" s="113">
        <f> active_H</f>
        <v/>
      </c>
      <c r="C84" s="111" t="inlineStr">
        <is>
          <t>不要填 stored_H；padding 行只属于存储/layout，不属于最终 OTF 有效输出。</t>
        </is>
      </c>
    </row>
  </sheetData>
  <mergeCells count="8">
    <mergeCell ref="A47:F47"/>
    <mergeCell ref="B2:F2"/>
    <mergeCell ref="A1:F1"/>
    <mergeCell ref="A5:F5"/>
    <mergeCell ref="A75:F75"/>
    <mergeCell ref="A34:F34"/>
    <mergeCell ref="A62:F62"/>
    <mergeCell ref="A21:F21"/>
  </mergeCells>
  <hyperlinks>
    <hyperlink xmlns:r="http://schemas.openxmlformats.org/officeDocument/2006/relationships" ref="B3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2026-05-21T11:18:19Z</dcterms:created>
  <dcterms:modified xmlns:dcterms="http://purl.org/dc/terms/" xmlns:xsi="http://www.w3.org/2001/XMLSchema-instance" xsi:type="dcterms:W3CDTF">2026-05-25T06:00:26Z</dcterms:modified>
  <cp:lastModifiedBy>bjoffice165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36B342B1F77A431FA9800C01E9A116E4_12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